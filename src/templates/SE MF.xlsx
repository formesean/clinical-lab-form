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linical-lab-form\src\templates\"/>
    </mc:Choice>
  </mc:AlternateContent>
  <xr:revisionPtr revIDLastSave="0" documentId="8_{E3228F29-9869-407E-8134-F073CAEFE42F}" xr6:coauthVersionLast="47" xr6:coauthVersionMax="47" xr10:uidLastSave="{00000000-0000-0000-0000-000000000000}"/>
  <bookViews>
    <workbookView xWindow="-108" yWindow="-108" windowWidth="23256" windowHeight="12456" xr2:uid="{ACD0D886-A566-488D-B617-C86D3325CE4E}"/>
  </bookViews>
  <sheets>
    <sheet name="SE MF" sheetId="1" r:id="rId1"/>
  </sheets>
  <definedNames>
    <definedName name="_xlnm.Print_Area" localSheetId="0">'SE MF'!$A$1:$K$52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1" l="1"/>
  <c r="A21" i="1"/>
  <c r="F21" i="1" s="1"/>
  <c r="D19" i="1"/>
</calcChain>
</file>

<file path=xl/sharedStrings.xml><?xml version="1.0" encoding="utf-8"?>
<sst xmlns="http://schemas.openxmlformats.org/spreadsheetml/2006/main" count="211" uniqueCount="181">
  <si>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</si>
  <si>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</si>
  <si>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</si>
  <si>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</si>
  <si>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</si>
  <si>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</si>
  <si>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</si>
  <si>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</si>
  <si>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</si>
  <si>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</si>
  <si>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</si>
  <si>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Female</t>
  </si>
  <si>
    <r>
      <t>Date &amp; Time Performed:</t>
    </r>
    <r>
      <rPr>
        <i/>
        <sz val="10"/>
        <color theme="1"/>
        <rFont val="Times New Roman"/>
        <family val="1"/>
      </rPr>
      <t xml:space="preserve"> dd/mmm/yyyy hh:mm</t>
    </r>
  </si>
  <si>
    <r>
      <t>Date &amp; Time Released:</t>
    </r>
    <r>
      <rPr>
        <i/>
        <sz val="10"/>
        <color theme="1"/>
        <rFont val="Times New Roman"/>
        <family val="1"/>
      </rPr>
      <t xml:space="preserve"> dd/mmm/yyyy hh:mm</t>
    </r>
  </si>
  <si>
    <t>Location:</t>
  </si>
  <si>
    <t>CLINICAL MICROSCOPY</t>
  </si>
  <si>
    <t>STOOL EXAM</t>
  </si>
  <si>
    <t>TEST PARAMETER</t>
  </si>
  <si>
    <t>RESULT</t>
  </si>
  <si>
    <t>ID</t>
  </si>
  <si>
    <t>REMARKS</t>
  </si>
  <si>
    <t>PHYSICAL EXAMINATION</t>
  </si>
  <si>
    <t xml:space="preserve">   Color</t>
  </si>
  <si>
    <t>YELLOW</t>
  </si>
  <si>
    <t xml:space="preserve">   Consistency</t>
  </si>
  <si>
    <t>BULKY &amp; FROTHY</t>
  </si>
  <si>
    <t xml:space="preserve">   Parasites (Macroscopic)</t>
  </si>
  <si>
    <t>Ancylostoma duodenale</t>
  </si>
  <si>
    <t>PROGLOTTID-IMMATURE</t>
  </si>
  <si>
    <t>UNIT</t>
  </si>
  <si>
    <t>MICROSCOPIC EXAMINATION</t>
  </si>
  <si>
    <t xml:space="preserve">   Red Blood Cells (RBC)</t>
  </si>
  <si>
    <t>0 - 1</t>
  </si>
  <si>
    <t>/HPF</t>
  </si>
  <si>
    <t xml:space="preserve">   White Blood Cells (RBC)</t>
  </si>
  <si>
    <t xml:space="preserve">   Bacteria</t>
  </si>
  <si>
    <t>MANY</t>
  </si>
  <si>
    <t xml:space="preserve">   Yeast</t>
  </si>
  <si>
    <t>RARE</t>
  </si>
  <si>
    <t>NONE</t>
  </si>
  <si>
    <t xml:space="preserve">   Parasite/s</t>
  </si>
  <si>
    <t>Pentatrichomonas hominis</t>
  </si>
  <si>
    <t>ADULT-MALE</t>
  </si>
  <si>
    <t xml:space="preserve">   Others</t>
  </si>
  <si>
    <t>CHARCOAL LEYDEN CRYSTAL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</si>
  <si>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</si>
  <si>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</si>
  <si>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</si>
  <si>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</si>
  <si>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</si>
  <si>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</si>
  <si>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</si>
  <si>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</si>
  <si>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</si>
  <si>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</si>
  <si>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</si>
  <si>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</si>
  <si>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</si>
  <si>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</si>
  <si>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</si>
  <si>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</si>
  <si>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</si>
  <si>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</si>
  <si>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</si>
  <si>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</si>
  <si>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</si>
  <si>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</si>
  <si>
    <t>COLOR</t>
  </si>
  <si>
    <t>CONSISTENCY</t>
  </si>
  <si>
    <t>MACRO PARA</t>
  </si>
  <si>
    <t>MACRO REMARKS</t>
  </si>
  <si>
    <t>MICRO YEAST</t>
  </si>
  <si>
    <t>MICRO PARA</t>
  </si>
  <si>
    <t>MICRO REMARKS</t>
  </si>
  <si>
    <t>MICRO OTHERS</t>
  </si>
  <si>
    <t>DARK BROWN</t>
  </si>
  <si>
    <t>FORMED</t>
  </si>
  <si>
    <t>BROWN</t>
  </si>
  <si>
    <t>SOFT</t>
  </si>
  <si>
    <t>NEMATODA</t>
  </si>
  <si>
    <t>BUDDING</t>
  </si>
  <si>
    <t>FLAGELLATES</t>
  </si>
  <si>
    <t>TROPHOZOITE</t>
  </si>
  <si>
    <t>FAT GLOBULE</t>
  </si>
  <si>
    <t>LIGHT BROWN</t>
  </si>
  <si>
    <t>WATERY</t>
  </si>
  <si>
    <t>Enterobius vermicularis</t>
  </si>
  <si>
    <t>PROGLOTTID-MATURE</t>
  </si>
  <si>
    <t>HYPHENATED</t>
  </si>
  <si>
    <t>Giardia duodenalis</t>
  </si>
  <si>
    <t>CYST</t>
  </si>
  <si>
    <t>MEAT FIBER</t>
  </si>
  <si>
    <t>YELLOWISH-BROWN</t>
  </si>
  <si>
    <t>MUCOID</t>
  </si>
  <si>
    <t>Ascaris lumbricoides</t>
  </si>
  <si>
    <t>PROGLOTTID-GRAVID</t>
  </si>
  <si>
    <t>Chilomastix mesnili</t>
  </si>
  <si>
    <t>VEGETABLE FIBER</t>
  </si>
  <si>
    <t>GREENISH-BROWN</t>
  </si>
  <si>
    <t>Trichuris trichiura</t>
  </si>
  <si>
    <t>SCOLEX</t>
  </si>
  <si>
    <t>ADULT-FEMALE</t>
  </si>
  <si>
    <t>STARCH GRANULES</t>
  </si>
  <si>
    <t>REDDISH-BROWN</t>
  </si>
  <si>
    <t>PASTY</t>
  </si>
  <si>
    <t>ADULT</t>
  </si>
  <si>
    <t>Enteromonas hominis</t>
  </si>
  <si>
    <t>RHABDITOID LARVA</t>
  </si>
  <si>
    <t>EPITHELIAL CELL</t>
  </si>
  <si>
    <t>DARK BROWN W/ RED STREAKS</t>
  </si>
  <si>
    <t>Necator americanus</t>
  </si>
  <si>
    <t>Retortamonas intestinalis</t>
  </si>
  <si>
    <t>FILARIFORM LARVA</t>
  </si>
  <si>
    <t>CALCIUM OXALATE CRYSTAL</t>
  </si>
  <si>
    <t>BROWN W/ RED STREAKS</t>
  </si>
  <si>
    <t>Trichinella spiralis</t>
  </si>
  <si>
    <t>AMOEBAE</t>
  </si>
  <si>
    <t>MICROFILARIA</t>
  </si>
  <si>
    <t>TRIPLE PHOSPHATE CRYSTAL</t>
  </si>
  <si>
    <t>LIGHT BROWN W/ RED STREAKS</t>
  </si>
  <si>
    <t>Capillaria philippinensis</t>
  </si>
  <si>
    <t>SPARGANUM</t>
  </si>
  <si>
    <t>Entamoeba histolytica</t>
  </si>
  <si>
    <t>OVUM</t>
  </si>
  <si>
    <t>FATTY ACID CRYSTAL</t>
  </si>
  <si>
    <t>Capillaria hepatica</t>
  </si>
  <si>
    <t>Entamoeba coli</t>
  </si>
  <si>
    <t>OVUM-FERTILIZED</t>
  </si>
  <si>
    <t>GREEN</t>
  </si>
  <si>
    <t>Strongyloides stercoralis</t>
  </si>
  <si>
    <t>Endolimax nana</t>
  </si>
  <si>
    <t>OVUM-UNFERTILIZED</t>
  </si>
  <si>
    <t>HEMATOIDIN CRYSTAL</t>
  </si>
  <si>
    <t>RED</t>
  </si>
  <si>
    <t>CESTODA</t>
  </si>
  <si>
    <t>Entamoeba hartmanni</t>
  </si>
  <si>
    <t>OVUM-DECORTICATED</t>
  </si>
  <si>
    <t>PALE YELLOW</t>
  </si>
  <si>
    <t>Adenocephalus pacificus</t>
  </si>
  <si>
    <t>Entamoeba polecki</t>
  </si>
  <si>
    <t>OVUM-EMBRYONATED</t>
  </si>
  <si>
    <t>GRAY</t>
  </si>
  <si>
    <t>Echinococcus granulosus</t>
  </si>
  <si>
    <t>Iodamoeba buetschlii</t>
  </si>
  <si>
    <t>CYSTICERCUS CELLULOSAE</t>
  </si>
  <si>
    <t>WHITE</t>
  </si>
  <si>
    <t>Dibothriocephalus latus</t>
  </si>
  <si>
    <t>Dientamoeba fragilis</t>
  </si>
  <si>
    <t>SPOROCYST</t>
  </si>
  <si>
    <t>BLACK</t>
  </si>
  <si>
    <t>Dipylidium caninum</t>
  </si>
  <si>
    <t>SPOROZOA</t>
  </si>
  <si>
    <t>CERCARIA</t>
  </si>
  <si>
    <t>Hymenolepis diminuta</t>
  </si>
  <si>
    <t>Balantidium coli</t>
  </si>
  <si>
    <t>MIRACIDIUM</t>
  </si>
  <si>
    <t>Hymenolepis nana</t>
  </si>
  <si>
    <t>Cystoisospora belli</t>
  </si>
  <si>
    <t>REDIA</t>
  </si>
  <si>
    <t>Taenia saginata</t>
  </si>
  <si>
    <t>Sarcocystis hominis</t>
  </si>
  <si>
    <t>HYDATID CYST</t>
  </si>
  <si>
    <t>Taenia solium</t>
  </si>
  <si>
    <t>Sarcocystis suihominis</t>
  </si>
  <si>
    <t>TREMATODA</t>
  </si>
  <si>
    <t>Cryptosporidium spp.</t>
  </si>
  <si>
    <t>Fasciolopsis buski</t>
  </si>
  <si>
    <t>Blastocystis hominis</t>
  </si>
  <si>
    <t>Schistosoma mansoni</t>
  </si>
  <si>
    <t>Schistosoma japonicum</t>
  </si>
  <si>
    <t>Schistosoma haematobium</t>
  </si>
  <si>
    <t>Schistosoma intercalatum</t>
  </si>
  <si>
    <t>Schistosoma mekongi</t>
  </si>
  <si>
    <t>Faciolopsis buski</t>
  </si>
  <si>
    <t>Echinostoma ilocanum</t>
  </si>
  <si>
    <t>Clonorchis sinensis</t>
  </si>
  <si>
    <t>Opisthorchis spp.</t>
  </si>
  <si>
    <t>Heterophyes heterophyes</t>
  </si>
  <si>
    <t>Metagonimus yokogawai</t>
  </si>
  <si>
    <t>Paragonimus westermani</t>
  </si>
  <si>
    <t>Fasciola hepatica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</si>
</sst>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7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1"/>
      <color theme="1"/>
      <name val="Calibr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8" fontId="2" fillId="0" borderId="7" xfId="0" applyNumberFormat="1" applyFont="1" applyBorder="1" applyAlignment="1">
      <alignment horizontal="center"/>
    </xf>
    <xf numFmtId="18" fontId="2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/>
    <xf numFmtId="0" fontId="8" fillId="0" borderId="1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/>
    </xf>
    <xf numFmtId="164" fontId="2" fillId="0" borderId="8" xfId="0" applyNumberFormat="1" applyFont="1" applyBorder="1" applyAlignment="1">
      <alignment horizontal="center"/>
    </xf>
    <xf numFmtId="0" fontId="4" fillId="0" borderId="0" xfId="0" applyFont="1"/>
    <xf numFmtId="0" fontId="9" fillId="0" borderId="0" xfId="0" applyFont="1"/>
    <xf numFmtId="0" fontId="2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3" borderId="15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4" xfId="0" applyFont="1" applyBorder="1" applyAlignment="1">
      <alignment vertical="center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0" fillId="0" borderId="5" xfId="0" applyNumberFormat="1" applyBorder="1"/>
    <xf numFmtId="0" fontId="13" fillId="0" borderId="4" xfId="0" applyFont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5" xfId="0" applyNumberForma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" fillId="0" borderId="0" xfId="0" applyFont="1"/>
    <xf numFmtId="15" fontId="0" fillId="0" borderId="0" xfId="0" applyNumberFormat="1"/>
    <xf numFmtId="18" fontId="0" fillId="0" borderId="0" xfId="0" applyNumberFormat="1"/>
    <xf numFmtId="0" fontId="18" fillId="0" borderId="0" xfId="0" applyFon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/>
    <xf numFmtId="15" fontId="12" fillId="0" borderId="0" xfId="0" applyNumberFormat="1" applyFont="1"/>
    <xf numFmtId="20" fontId="12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119380</xdr:rowOff>
    </xdr:from>
    <xdr:to>
      <xdr:col>9</xdr:col>
      <xdr:colOff>152400</xdr:colOff>
      <xdr:row>6</xdr:row>
      <xdr:rowOff>104140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CEF4AEE1-0F9F-40A9-A1E2-042E5B98E632}"/>
            </a:ext>
          </a:extLst>
        </xdr:cNvPr>
        <xdr:cNvSpPr txBox="1">
          <a:spLocks noChangeArrowheads="1"/>
        </xdr:cNvSpPr>
      </xdr:nvSpPr>
      <xdr:spPr bwMode="auto">
        <a:xfrm>
          <a:off x="1043940" y="119380"/>
          <a:ext cx="4831080" cy="108204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Republic of the Philippines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Department of Health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CENTRAL VISAYAS CENTER FOR HEALTH DEVELOPMENT</a:t>
          </a:r>
          <a:endParaRPr lang="en-US" sz="10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DOH - Central Visayas Clinical Laboratory</a:t>
          </a:r>
          <a:endParaRPr lang="en-US" sz="18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Osmeña Boulevard, Sambag II, Cebu City, Cebu, Philippines</a:t>
          </a:r>
        </a:p>
      </xdr:txBody>
    </xdr:sp>
    <xdr:clientData/>
  </xdr:twoCellAnchor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EB43945C-A3FF-4876-829D-249895B16765}"/>
            </a:ext>
          </a:extLst>
        </xdr:cNvPr>
        <xdr:cNvSpPr txBox="1">
          <a:spLocks noChangeArrowheads="1"/>
        </xdr:cNvSpPr>
      </xdr:nvSpPr>
      <xdr:spPr bwMode="auto">
        <a:xfrm>
          <a:off x="104394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510540</xdr:colOff>
      <xdr:row>45</xdr:row>
      <xdr:rowOff>182880</xdr:rowOff>
    </xdr:from>
    <xdr:to>
      <xdr:col>11</xdr:col>
      <xdr:colOff>441960</xdr:colOff>
      <xdr:row>51</xdr:row>
      <xdr:rowOff>27264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52C2E4-D201-4FD9-B00B-470A148DA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56860" y="8115300"/>
          <a:ext cx="227076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182880</xdr:colOff>
      <xdr:row>0</xdr:row>
      <xdr:rowOff>160020</xdr:rowOff>
    </xdr:from>
    <xdr:to>
      <xdr:col>10</xdr:col>
      <xdr:colOff>414202</xdr:colOff>
      <xdr:row>5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DD8A3B-9134-4EB5-85C8-362CA1011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16002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198120</xdr:colOff>
      <xdr:row>0</xdr:row>
      <xdr:rowOff>175260</xdr:rowOff>
    </xdr:from>
    <xdr:to>
      <xdr:col>2</xdr:col>
      <xdr:colOff>52920</xdr:colOff>
      <xdr:row>5</xdr:row>
      <xdr:rowOff>182460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76985D-F7FA-4E61-BDA7-D1D66D5B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" y="17526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29A15-12CF-436A-ADD2-39F49848608D}">
  <dimension ref="A1:K162"/>
  <sheetViews>
    <sheetView tabSelected="1" view="pageLayout" topLeftCell="A40" zoomScaleNormal="100" workbookViewId="0">
      <selection activeCell="A53" sqref="A53:D53"/>
    </sheetView>
  </sheetViews>
  <sheetFormatPr defaultColWidth="9.21875" defaultRowHeight="14.4" x14ac:dyDescent="0.3"/>
  <cols>
    <col min="1" max="3" width="7.5546875" customWidth="1"/>
    <col min="4" max="5" width="12.77734375" customWidth="1"/>
    <col min="6" max="7" width="10.77734375" customWidth="1"/>
    <col min="8" max="9" width="5.109375" customWidth="1"/>
    <col min="10" max="11" width="10.21875" customWidth="1"/>
  </cols>
  <sheetData>
    <row r="1" spans="1:1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3">
      <c r="A2" s="4"/>
      <c r="K2" s="5"/>
    </row>
    <row r="3" spans="1:11" x14ac:dyDescent="0.3">
      <c r="A3" s="4"/>
      <c r="K3" s="5"/>
    </row>
    <row r="4" spans="1:11" x14ac:dyDescent="0.3">
      <c r="A4" s="4"/>
      <c r="K4" s="5"/>
    </row>
    <row r="5" spans="1:11" x14ac:dyDescent="0.3">
      <c r="A5" s="4"/>
      <c r="K5" s="5"/>
    </row>
    <row r="6" spans="1:11" x14ac:dyDescent="0.3">
      <c r="A6" s="4"/>
      <c r="K6" s="5"/>
    </row>
    <row r="7" spans="1:11" ht="13.95" customHeight="1" thickBot="1" x14ac:dyDescent="0.3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5.55" customHeight="1" x14ac:dyDescent="0.3"/>
    <row r="9" spans="1:11" ht="14.4" customHeight="1" x14ac:dyDescent="0.3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5.55" customHeight="1" thickBot="1" x14ac:dyDescent="0.35"/>
    <row r="11" spans="1:11" ht="15" customHeight="1" x14ac:dyDescent="0.3">
      <c r="A11" s="10" t="s">
        <v>1</v>
      </c>
      <c r="B11" s="11"/>
      <c r="C11" s="12"/>
      <c r="D11" s="10" t="s">
        <v>2</v>
      </c>
      <c r="E11" s="11"/>
      <c r="F11" s="12"/>
      <c r="G11" s="13" t="s">
        <v>3</v>
      </c>
      <c r="H11" s="14"/>
      <c r="I11" s="14"/>
      <c r="J11" s="14"/>
      <c r="K11" s="15"/>
    </row>
    <row r="12" spans="1:11" ht="15" thickBot="1" x14ac:dyDescent="0.35">
      <c r="A12" s="16"/>
      <c r="B12" s="17"/>
      <c r="C12" s="18"/>
      <c r="D12" s="16"/>
      <c r="E12" s="17"/>
      <c r="F12" s="18"/>
      <c r="G12" s="19"/>
      <c r="H12" s="20"/>
      <c r="I12" s="20"/>
      <c r="J12" s="21">
        <v>0.33333333333333331</v>
      </c>
      <c r="K12" s="22"/>
    </row>
    <row r="13" spans="1:11" x14ac:dyDescent="0.3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x14ac:dyDescent="0.3">
      <c r="A14" s="4"/>
      <c r="K14" s="5"/>
    </row>
    <row r="15" spans="1:11" ht="15.6" x14ac:dyDescent="0.3">
      <c r="A15" s="23"/>
      <c r="B15" s="24"/>
      <c r="C15" s="24"/>
      <c r="E15" s="24"/>
      <c r="F15" s="24"/>
      <c r="G15" s="24"/>
      <c r="I15" s="24"/>
      <c r="J15" s="24"/>
      <c r="K15" s="25"/>
    </row>
    <row r="16" spans="1:11" x14ac:dyDescent="0.3">
      <c r="A16" s="26" t="s">
        <v>4</v>
      </c>
      <c r="B16" s="27"/>
      <c r="C16" s="27"/>
      <c r="D16" s="28"/>
      <c r="E16" s="27" t="s">
        <v>5</v>
      </c>
      <c r="F16" s="27"/>
      <c r="G16" s="27"/>
      <c r="H16" s="28"/>
      <c r="I16" s="27" t="s">
        <v>6</v>
      </c>
      <c r="J16" s="27"/>
      <c r="K16" s="29"/>
    </row>
    <row r="17" spans="1:11" ht="6" customHeight="1" thickBot="1" x14ac:dyDescent="0.35">
      <c r="A17" s="6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3">
      <c r="A18" s="30" t="s">
        <v>7</v>
      </c>
      <c r="B18" s="11"/>
      <c r="C18" s="12"/>
      <c r="D18" s="10" t="s">
        <v>8</v>
      </c>
      <c r="E18" s="12"/>
      <c r="F18" s="10" t="s">
        <v>9</v>
      </c>
      <c r="G18" s="12"/>
      <c r="H18" s="10" t="s">
        <v>10</v>
      </c>
      <c r="I18" s="11"/>
      <c r="J18" s="11"/>
      <c r="K18" s="12"/>
    </row>
    <row r="19" spans="1:11" ht="15" thickBot="1" x14ac:dyDescent="0.35">
      <c r="A19" s="19"/>
      <c r="B19" s="20"/>
      <c r="C19" s="31"/>
      <c r="D19" s="16">
        <f ca="1">INT((TODAY()-A19)/365.25)</f>
        <v>126</v>
      </c>
      <c r="E19" s="18"/>
      <c r="F19" s="16" t="s">
        <v>11</v>
      </c>
      <c r="G19" s="18"/>
      <c r="H19" s="16"/>
      <c r="I19" s="17"/>
      <c r="J19" s="17"/>
      <c r="K19" s="18"/>
    </row>
    <row r="20" spans="1:11" ht="14.4" customHeight="1" x14ac:dyDescent="0.3">
      <c r="A20" s="13" t="s">
        <v>12</v>
      </c>
      <c r="B20" s="2"/>
      <c r="C20" s="2"/>
      <c r="D20" s="2"/>
      <c r="E20" s="3"/>
      <c r="F20" s="32" t="s">
        <v>13</v>
      </c>
      <c r="G20" s="33"/>
      <c r="J20" s="13" t="s">
        <v>14</v>
      </c>
      <c r="K20" s="3"/>
    </row>
    <row r="21" spans="1:11" ht="15" thickBot="1" x14ac:dyDescent="0.35">
      <c r="A21" s="19">
        <f>G12</f>
        <v>0</v>
      </c>
      <c r="B21" s="20"/>
      <c r="C21" s="20"/>
      <c r="D21" s="21">
        <v>0.375</v>
      </c>
      <c r="E21" s="22"/>
      <c r="F21" s="19">
        <f>A21</f>
        <v>0</v>
      </c>
      <c r="G21" s="20"/>
      <c r="H21" s="21">
        <v>0.45833333333333331</v>
      </c>
      <c r="I21" s="22"/>
      <c r="J21" s="34"/>
      <c r="K21" s="35"/>
    </row>
    <row r="22" spans="1:11" ht="14.4" customHeight="1" x14ac:dyDescent="0.3">
      <c r="A22" s="36" t="s">
        <v>15</v>
      </c>
      <c r="B22" s="37"/>
      <c r="C22" s="37"/>
      <c r="D22" s="37"/>
      <c r="E22" s="37"/>
      <c r="F22" s="37"/>
      <c r="G22" s="37"/>
      <c r="H22" s="37"/>
      <c r="I22" s="37"/>
      <c r="J22" s="37"/>
      <c r="K22" s="38"/>
    </row>
    <row r="23" spans="1:11" ht="15" customHeight="1" thickBot="1" x14ac:dyDescent="0.35">
      <c r="A23" s="39"/>
      <c r="B23" s="40"/>
      <c r="C23" s="40"/>
      <c r="D23" s="40"/>
      <c r="E23" s="40"/>
      <c r="F23" s="40"/>
      <c r="G23" s="40"/>
      <c r="H23" s="40"/>
      <c r="I23" s="40"/>
      <c r="J23" s="40"/>
      <c r="K23" s="41"/>
    </row>
    <row r="24" spans="1:11" ht="18" thickBot="1" x14ac:dyDescent="0.35">
      <c r="A24" s="42" t="s">
        <v>16</v>
      </c>
      <c r="B24" s="43"/>
      <c r="C24" s="43"/>
      <c r="D24" s="43"/>
      <c r="E24" s="43"/>
      <c r="F24" s="43"/>
      <c r="G24" s="43"/>
      <c r="H24" s="43"/>
      <c r="I24" s="43"/>
      <c r="J24" s="43"/>
      <c r="K24" s="44"/>
    </row>
    <row r="25" spans="1:11" s="48" customFormat="1" ht="12.75" customHeight="1" thickBot="1" x14ac:dyDescent="0.35">
      <c r="A25" s="45" t="s">
        <v>17</v>
      </c>
      <c r="B25" s="46"/>
      <c r="C25" s="47"/>
      <c r="D25" s="46" t="s">
        <v>18</v>
      </c>
      <c r="E25" s="47"/>
      <c r="F25" s="45" t="s">
        <v>19</v>
      </c>
      <c r="G25" s="46"/>
      <c r="H25" s="47"/>
      <c r="I25" s="46" t="s">
        <v>20</v>
      </c>
      <c r="J25" s="46"/>
      <c r="K25" s="47"/>
    </row>
    <row r="26" spans="1:11" x14ac:dyDescent="0.3">
      <c r="A26" s="49" t="s">
        <v>21</v>
      </c>
      <c r="B26" s="49"/>
      <c r="C26" s="49"/>
      <c r="D26" s="50"/>
      <c r="E26" s="51"/>
      <c r="F26" s="51"/>
      <c r="G26" s="52"/>
      <c r="H26" s="52"/>
      <c r="I26" s="52"/>
      <c r="J26" s="52"/>
      <c r="K26" s="53"/>
    </row>
    <row r="27" spans="1:11" x14ac:dyDescent="0.3">
      <c r="A27" s="54" t="s">
        <v>22</v>
      </c>
      <c r="B27" s="32"/>
      <c r="D27" s="55" t="s">
        <v>23</v>
      </c>
      <c r="E27" s="55"/>
      <c r="F27" s="56"/>
      <c r="G27" s="56"/>
      <c r="H27" s="56"/>
      <c r="I27" s="56"/>
      <c r="J27" s="57"/>
      <c r="K27" s="58"/>
    </row>
    <row r="28" spans="1:11" x14ac:dyDescent="0.3">
      <c r="A28" s="54" t="s">
        <v>24</v>
      </c>
      <c r="B28" s="32"/>
      <c r="D28" s="59" t="s">
        <v>25</v>
      </c>
      <c r="E28" s="59"/>
      <c r="F28" s="56"/>
      <c r="G28" s="56"/>
      <c r="H28" s="56"/>
      <c r="I28" s="56"/>
      <c r="J28" s="57"/>
      <c r="K28" s="58"/>
    </row>
    <row r="29" spans="1:11" x14ac:dyDescent="0.3">
      <c r="A29" s="54" t="s">
        <v>26</v>
      </c>
      <c r="B29" s="32"/>
      <c r="D29" s="60"/>
      <c r="E29" s="60"/>
      <c r="F29" s="55" t="s">
        <v>27</v>
      </c>
      <c r="G29" s="55"/>
      <c r="H29" s="55"/>
      <c r="I29" s="55" t="s">
        <v>28</v>
      </c>
      <c r="J29" s="55"/>
      <c r="K29" s="61"/>
    </row>
    <row r="30" spans="1:11" x14ac:dyDescent="0.3">
      <c r="A30" s="54"/>
      <c r="B30" s="32"/>
      <c r="D30" s="60"/>
      <c r="E30" s="60"/>
      <c r="F30" s="55"/>
      <c r="G30" s="55"/>
      <c r="H30" s="55"/>
      <c r="I30" s="55"/>
      <c r="J30" s="57"/>
      <c r="K30" s="58"/>
    </row>
    <row r="31" spans="1:11" x14ac:dyDescent="0.3">
      <c r="A31" s="54"/>
      <c r="B31" s="32"/>
      <c r="D31" s="60"/>
      <c r="E31" s="60"/>
      <c r="F31" s="55"/>
      <c r="G31" s="55"/>
      <c r="H31" s="55"/>
      <c r="I31" s="55"/>
      <c r="J31" s="57"/>
      <c r="K31" s="58"/>
    </row>
    <row r="32" spans="1:11" ht="15" thickBot="1" x14ac:dyDescent="0.35">
      <c r="A32" s="62"/>
      <c r="D32" s="50"/>
      <c r="E32" s="51"/>
      <c r="F32" s="51"/>
      <c r="G32" s="52"/>
      <c r="H32" s="52"/>
      <c r="I32" s="52"/>
      <c r="J32" s="52"/>
      <c r="K32" s="53"/>
    </row>
    <row r="33" spans="1:11" s="48" customFormat="1" ht="12.75" customHeight="1" thickBot="1" x14ac:dyDescent="0.35">
      <c r="A33" s="45" t="s">
        <v>17</v>
      </c>
      <c r="B33" s="46"/>
      <c r="C33" s="47"/>
      <c r="D33" s="63" t="s">
        <v>18</v>
      </c>
      <c r="E33" s="64" t="s">
        <v>29</v>
      </c>
      <c r="F33" s="45" t="s">
        <v>19</v>
      </c>
      <c r="G33" s="46"/>
      <c r="H33" s="47"/>
      <c r="I33" s="45" t="s">
        <v>20</v>
      </c>
      <c r="J33" s="46"/>
      <c r="K33" s="47"/>
    </row>
    <row r="34" spans="1:11" x14ac:dyDescent="0.3">
      <c r="A34" s="49" t="s">
        <v>30</v>
      </c>
      <c r="B34" s="49"/>
      <c r="C34" s="49"/>
      <c r="D34" s="50"/>
      <c r="E34" s="51"/>
      <c r="F34" s="51"/>
      <c r="G34" s="52"/>
      <c r="H34" s="52"/>
      <c r="I34" s="52"/>
      <c r="J34" s="52"/>
      <c r="K34" s="53"/>
    </row>
    <row r="35" spans="1:11" ht="13.35" customHeight="1" x14ac:dyDescent="0.3">
      <c r="A35" s="54" t="s">
        <v>31</v>
      </c>
      <c r="B35" s="32"/>
      <c r="D35" s="65" t="s">
        <v>32</v>
      </c>
      <c r="E35" s="66" t="s">
        <v>33</v>
      </c>
      <c r="H35" s="57"/>
      <c r="I35" s="57"/>
      <c r="J35" s="57"/>
      <c r="K35" s="58"/>
    </row>
    <row r="36" spans="1:11" x14ac:dyDescent="0.3">
      <c r="A36" s="54" t="s">
        <v>34</v>
      </c>
      <c r="B36" s="32"/>
      <c r="D36" s="65" t="s">
        <v>32</v>
      </c>
      <c r="E36" s="66" t="s">
        <v>33</v>
      </c>
      <c r="H36" s="57"/>
      <c r="I36" s="57"/>
      <c r="J36" s="57"/>
      <c r="K36" s="58"/>
    </row>
    <row r="37" spans="1:11" x14ac:dyDescent="0.3">
      <c r="A37" s="54" t="s">
        <v>35</v>
      </c>
      <c r="B37" s="32"/>
      <c r="D37" s="65" t="s">
        <v>36</v>
      </c>
      <c r="E37" s="66" t="s">
        <v>33</v>
      </c>
      <c r="H37" s="57"/>
      <c r="I37" s="57"/>
      <c r="J37" s="57"/>
      <c r="K37" s="58"/>
    </row>
    <row r="38" spans="1:11" x14ac:dyDescent="0.3">
      <c r="A38" s="54" t="s">
        <v>37</v>
      </c>
      <c r="B38" s="32"/>
      <c r="D38" s="65" t="s">
        <v>38</v>
      </c>
      <c r="E38" s="66" t="s">
        <v>33</v>
      </c>
      <c r="F38" s="60" t="s">
        <v>39</v>
      </c>
      <c r="G38" s="60"/>
      <c r="H38" s="60"/>
      <c r="I38" s="60"/>
      <c r="J38" s="60"/>
      <c r="K38" s="67"/>
    </row>
    <row r="39" spans="1:11" x14ac:dyDescent="0.3">
      <c r="A39" s="68" t="s">
        <v>40</v>
      </c>
      <c r="B39" s="69"/>
      <c r="D39" s="65" t="s">
        <v>39</v>
      </c>
      <c r="E39" s="66" t="s">
        <v>33</v>
      </c>
      <c r="F39" s="60" t="s">
        <v>41</v>
      </c>
      <c r="G39" s="60"/>
      <c r="H39" s="60"/>
      <c r="I39" s="60" t="s">
        <v>42</v>
      </c>
      <c r="J39" s="60"/>
      <c r="K39" s="67"/>
    </row>
    <row r="40" spans="1:11" x14ac:dyDescent="0.3">
      <c r="A40" s="68"/>
      <c r="B40" s="69"/>
      <c r="D40" s="65" t="s">
        <v>39</v>
      </c>
      <c r="E40" s="66" t="s">
        <v>33</v>
      </c>
      <c r="F40" s="60" t="s">
        <v>39</v>
      </c>
      <c r="G40" s="60"/>
      <c r="H40" s="60"/>
      <c r="I40" s="60"/>
      <c r="J40" s="60"/>
      <c r="K40" s="67"/>
    </row>
    <row r="41" spans="1:11" x14ac:dyDescent="0.3">
      <c r="A41" s="54" t="s">
        <v>43</v>
      </c>
      <c r="B41" s="32"/>
      <c r="D41" s="65" t="s">
        <v>39</v>
      </c>
      <c r="E41" s="66" t="s">
        <v>33</v>
      </c>
      <c r="F41" s="60" t="s">
        <v>44</v>
      </c>
      <c r="G41" s="60"/>
      <c r="H41" s="60"/>
      <c r="I41" s="60"/>
      <c r="J41" s="60"/>
      <c r="K41" s="67"/>
    </row>
    <row r="42" spans="1:11" x14ac:dyDescent="0.3">
      <c r="A42" s="49"/>
      <c r="B42" s="70"/>
      <c r="C42" s="70"/>
      <c r="D42" s="50"/>
      <c r="E42" s="51"/>
      <c r="F42" s="51"/>
      <c r="G42" s="52"/>
      <c r="H42" s="52"/>
      <c r="I42" s="52"/>
      <c r="J42" s="52"/>
      <c r="K42" s="53"/>
    </row>
    <row r="43" spans="1:11" x14ac:dyDescent="0.3">
      <c r="A43" s="62"/>
      <c r="B43" s="32"/>
      <c r="D43" s="50"/>
      <c r="E43" s="51"/>
      <c r="F43" s="51"/>
      <c r="G43" s="52"/>
      <c r="H43" s="52"/>
      <c r="I43" s="52"/>
      <c r="J43" s="52"/>
      <c r="K43" s="53"/>
    </row>
    <row r="44" spans="1:11" x14ac:dyDescent="0.3">
      <c r="A44" s="62"/>
      <c r="B44" s="32"/>
      <c r="D44" s="50"/>
      <c r="E44" s="51"/>
      <c r="F44" s="51"/>
      <c r="G44" s="52"/>
      <c r="H44" s="52"/>
      <c r="I44" s="52"/>
      <c r="J44" s="52"/>
      <c r="K44" s="53"/>
    </row>
    <row r="45" spans="1:11" x14ac:dyDescent="0.3">
      <c r="A45" s="62"/>
      <c r="B45" s="32"/>
      <c r="D45" s="50"/>
      <c r="E45" s="51"/>
      <c r="F45" s="51"/>
      <c r="G45" s="52"/>
      <c r="H45" s="52"/>
      <c r="I45" s="52"/>
      <c r="J45" s="52"/>
      <c r="K45" s="53"/>
    </row>
    <row r="46" spans="1:11" ht="15" thickBot="1" x14ac:dyDescent="0.35">
      <c r="A46" s="71" t="s">
        <v>45</v>
      </c>
      <c r="B46" s="72"/>
      <c r="C46" s="72"/>
      <c r="D46" s="72"/>
      <c r="E46" s="72"/>
      <c r="F46" s="72"/>
      <c r="G46" s="72"/>
      <c r="H46" s="72"/>
      <c r="I46" s="72"/>
      <c r="J46" s="72"/>
      <c r="K46" s="73"/>
    </row>
    <row r="47" spans="1:11" x14ac:dyDescent="0.3">
      <c r="A47" s="74" t="s">
        <v>46</v>
      </c>
      <c r="B47" s="74"/>
      <c r="C47" s="75"/>
      <c r="D47" s="75"/>
      <c r="E47" s="75"/>
      <c r="F47" s="75"/>
      <c r="G47" s="75"/>
      <c r="H47" s="75"/>
      <c r="I47" s="75"/>
      <c r="J47" s="75"/>
      <c r="K47" s="75"/>
    </row>
    <row r="48" spans="1:11" x14ac:dyDescent="0.3">
      <c r="A48" s="76" t="s">
        <v>47</v>
      </c>
      <c r="E48" s="77" t="s">
        <v>48</v>
      </c>
      <c r="I48" s="77" t="s">
        <v>49</v>
      </c>
    </row>
    <row r="49" spans="1:11" x14ac:dyDescent="0.3">
      <c r="I49" s="78"/>
    </row>
    <row r="50" spans="1:11" x14ac:dyDescent="0.3">
      <c r="A50" s="79" t="s">
        <v>50</v>
      </c>
      <c r="B50" s="79"/>
      <c r="C50" s="79"/>
      <c r="D50" s="79"/>
      <c r="E50" s="79" t="s">
        <v>51</v>
      </c>
      <c r="F50" s="79"/>
      <c r="G50" s="79"/>
      <c r="H50" s="79"/>
      <c r="I50" s="80" t="s">
        <v>52</v>
      </c>
      <c r="J50" s="80"/>
      <c r="K50" s="80"/>
    </row>
    <row r="51" spans="1:11" x14ac:dyDescent="0.3">
      <c r="A51" s="81" t="s">
        <v>53</v>
      </c>
      <c r="B51" s="81"/>
      <c r="C51" s="81"/>
      <c r="D51" s="81"/>
      <c r="E51" s="82" t="s">
        <v>54</v>
      </c>
      <c r="F51" s="82"/>
      <c r="G51" s="82"/>
      <c r="H51" s="82"/>
      <c r="I51" s="82" t="s">
        <v>55</v>
      </c>
      <c r="J51" s="82"/>
      <c r="K51" s="82"/>
    </row>
    <row r="52" spans="1:11" x14ac:dyDescent="0.3">
      <c r="A52" s="82" t="str">
        <f>IF(A50=A59,"Lic. No. 0091946",IF(A50=A60,"Lic. No. 0068902",IF(A50=A61,"Lic. No. 0081395",IF(A50=A62,"Lic. No. 0054465",IF(A50=A63,"Lic. No. 0060939")))))</f>
        <v>Lic. No. 0068902</v>
      </c>
      <c r="B52" s="82"/>
      <c r="C52" s="82"/>
      <c r="D52" s="82"/>
      <c r="E52" s="82" t="s">
        <v>56</v>
      </c>
      <c r="F52" s="82"/>
      <c r="G52" s="82"/>
      <c r="H52" s="82"/>
      <c r="I52" s="82" t="s">
        <v>57</v>
      </c>
      <c r="J52" s="82"/>
      <c r="K52" s="82"/>
    </row>
    <row r="53" spans="1:11" x14ac:dyDescent="0.3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</row>
    <row r="55" spans="1:11" x14ac:dyDescent="0.3">
      <c r="A55" s="83"/>
      <c r="B55" s="83"/>
      <c r="C55" s="83"/>
      <c r="D55" s="83"/>
    </row>
    <row r="56" spans="1:11" x14ac:dyDescent="0.3">
      <c r="C56" s="83"/>
      <c r="D56" s="83"/>
    </row>
    <row r="57" spans="1:11" ht="14.4" customHeight="1" x14ac:dyDescent="0.3">
      <c r="C57" s="83"/>
      <c r="D57" s="83"/>
    </row>
    <row r="59" spans="1:11" x14ac:dyDescent="0.3">
      <c r="A59" s="84" t="s">
        <v>58</v>
      </c>
      <c r="B59" s="84" t="s">
        <v>59</v>
      </c>
    </row>
    <row r="60" spans="1:11" x14ac:dyDescent="0.3">
      <c r="A60" s="33" t="s">
        <v>50</v>
      </c>
      <c r="B60" s="85" t="s">
        <v>60</v>
      </c>
    </row>
    <row r="61" spans="1:11" x14ac:dyDescent="0.3">
      <c r="A61" s="33" t="s">
        <v>61</v>
      </c>
      <c r="B61" s="85" t="s">
        <v>62</v>
      </c>
    </row>
    <row r="62" spans="1:11" x14ac:dyDescent="0.3">
      <c r="A62" t="s">
        <v>63</v>
      </c>
      <c r="B62" t="s">
        <v>64</v>
      </c>
    </row>
    <row r="63" spans="1:11" x14ac:dyDescent="0.3">
      <c r="A63" t="s">
        <v>65</v>
      </c>
      <c r="B63" t="s">
        <v>66</v>
      </c>
    </row>
    <row r="64" spans="1:11" hidden="1" x14ac:dyDescent="0.3"/>
    <row r="65" hidden="1" x14ac:dyDescent="0.3"/>
    <row r="66" hidden="1" x14ac:dyDescent="0.3"/>
    <row r="67" hidden="1" x14ac:dyDescent="0.3"/>
    <row r="68" hidden="1" x14ac:dyDescent="0.3"/>
    <row r="69" hidden="1" x14ac:dyDescent="0.3"/>
    <row r="70" hidden="1" x14ac:dyDescent="0.3"/>
    <row r="71" hidden="1" x14ac:dyDescent="0.3"/>
    <row r="72" hidden="1" x14ac:dyDescent="0.3"/>
    <row r="73" hidden="1" x14ac:dyDescent="0.3"/>
    <row r="74" hidden="1" x14ac:dyDescent="0.3"/>
    <row r="75" hidden="1" x14ac:dyDescent="0.3"/>
    <row r="76" hidden="1" x14ac:dyDescent="0.3"/>
    <row r="77" hidden="1" x14ac:dyDescent="0.3"/>
    <row r="78" hidden="1" x14ac:dyDescent="0.3"/>
    <row r="79" hidden="1" x14ac:dyDescent="0.3"/>
    <row r="80" hidden="1" x14ac:dyDescent="0.3"/>
    <row r="81" hidden="1" x14ac:dyDescent="0.3"/>
    <row r="82" hidden="1" x14ac:dyDescent="0.3"/>
    <row r="83" hidden="1" x14ac:dyDescent="0.3"/>
    <row r="84" hidden="1" x14ac:dyDescent="0.3"/>
    <row r="85" hidden="1" x14ac:dyDescent="0.3"/>
    <row r="86" hidden="1" x14ac:dyDescent="0.3"/>
    <row r="87" hidden="1" x14ac:dyDescent="0.3"/>
    <row r="88" hidden="1" x14ac:dyDescent="0.3"/>
    <row r="89" hidden="1" x14ac:dyDescent="0.3"/>
    <row r="90" hidden="1" x14ac:dyDescent="0.3"/>
    <row r="91" hidden="1" x14ac:dyDescent="0.3"/>
    <row r="92" hidden="1" x14ac:dyDescent="0.3"/>
    <row r="93" hidden="1" x14ac:dyDescent="0.3"/>
    <row r="94" hidden="1" x14ac:dyDescent="0.3"/>
    <row r="95" hidden="1" x14ac:dyDescent="0.3"/>
    <row r="96" hidden="1" x14ac:dyDescent="0.3"/>
    <row r="97" hidden="1" x14ac:dyDescent="0.3"/>
    <row r="98" hidden="1" x14ac:dyDescent="0.3"/>
    <row r="99" hidden="1" x14ac:dyDescent="0.3"/>
    <row r="100" hidden="1" x14ac:dyDescent="0.3"/>
    <row r="101" hidden="1" x14ac:dyDescent="0.3"/>
    <row r="102" hidden="1" x14ac:dyDescent="0.3"/>
    <row r="103" hidden="1" x14ac:dyDescent="0.3"/>
    <row r="104" hidden="1" x14ac:dyDescent="0.3"/>
    <row r="105" hidden="1" x14ac:dyDescent="0.3"/>
    <row r="106" hidden="1" x14ac:dyDescent="0.3"/>
    <row r="107" hidden="1" x14ac:dyDescent="0.3"/>
    <row r="108" hidden="1" x14ac:dyDescent="0.3"/>
    <row r="109" hidden="1" x14ac:dyDescent="0.3"/>
    <row r="110" hidden="1" x14ac:dyDescent="0.3"/>
    <row r="111" hidden="1" x14ac:dyDescent="0.3"/>
    <row r="112" hidden="1" x14ac:dyDescent="0.3"/>
    <row r="113" spans="1:9" hidden="1" x14ac:dyDescent="0.3"/>
    <row r="114" spans="1:9" hidden="1" x14ac:dyDescent="0.3"/>
    <row r="115" spans="1:9" hidden="1" x14ac:dyDescent="0.3"/>
    <row r="116" spans="1:9" hidden="1" x14ac:dyDescent="0.3"/>
    <row r="117" spans="1:9" hidden="1" x14ac:dyDescent="0.3"/>
    <row r="118" spans="1:9" hidden="1" x14ac:dyDescent="0.3"/>
    <row r="119" spans="1:9" hidden="1" x14ac:dyDescent="0.3"/>
    <row r="120" spans="1:9" hidden="1" x14ac:dyDescent="0.3"/>
    <row r="121" spans="1:9" hidden="1" x14ac:dyDescent="0.3"/>
    <row r="122" spans="1:9" hidden="1" x14ac:dyDescent="0.3"/>
    <row r="123" spans="1:9" hidden="1" x14ac:dyDescent="0.3"/>
    <row r="124" spans="1:9" hidden="1" x14ac:dyDescent="0.3"/>
    <row r="125" spans="1:9" x14ac:dyDescent="0.3">
      <c r="C125" s="86"/>
      <c r="D125" s="87"/>
      <c r="E125" s="88"/>
      <c r="H125" s="89"/>
      <c r="I125" s="90"/>
    </row>
    <row r="126" spans="1:9" x14ac:dyDescent="0.3">
      <c r="A126" s="91" t="s">
        <v>67</v>
      </c>
      <c r="B126" s="91" t="s">
        <v>68</v>
      </c>
      <c r="C126" s="92" t="s">
        <v>69</v>
      </c>
      <c r="D126" s="91" t="s">
        <v>70</v>
      </c>
      <c r="E126" s="93" t="s">
        <v>71</v>
      </c>
      <c r="F126" s="93" t="s">
        <v>72</v>
      </c>
      <c r="G126" s="91" t="s">
        <v>73</v>
      </c>
      <c r="H126" s="91" t="s">
        <v>74</v>
      </c>
      <c r="I126" s="90"/>
    </row>
    <row r="127" spans="1:9" x14ac:dyDescent="0.3">
      <c r="A127" t="s">
        <v>75</v>
      </c>
      <c r="B127" s="86" t="s">
        <v>76</v>
      </c>
      <c r="C127" t="s">
        <v>39</v>
      </c>
      <c r="E127" s="94" t="s">
        <v>39</v>
      </c>
      <c r="F127" s="94" t="s">
        <v>39</v>
      </c>
      <c r="H127" t="s">
        <v>39</v>
      </c>
      <c r="I127" s="90"/>
    </row>
    <row r="128" spans="1:9" x14ac:dyDescent="0.3">
      <c r="A128" t="s">
        <v>77</v>
      </c>
      <c r="B128" s="86" t="s">
        <v>78</v>
      </c>
      <c r="C128" s="50" t="s">
        <v>79</v>
      </c>
      <c r="D128" t="s">
        <v>28</v>
      </c>
      <c r="E128" s="94" t="s">
        <v>80</v>
      </c>
      <c r="F128" s="50" t="s">
        <v>81</v>
      </c>
      <c r="G128" t="s">
        <v>82</v>
      </c>
      <c r="H128" t="s">
        <v>83</v>
      </c>
      <c r="I128" s="90"/>
    </row>
    <row r="129" spans="1:9" x14ac:dyDescent="0.3">
      <c r="A129" t="s">
        <v>84</v>
      </c>
      <c r="B129" s="86" t="s">
        <v>85</v>
      </c>
      <c r="C129" t="s">
        <v>86</v>
      </c>
      <c r="D129" t="s">
        <v>87</v>
      </c>
      <c r="E129" s="94" t="s">
        <v>88</v>
      </c>
      <c r="F129" t="s">
        <v>89</v>
      </c>
      <c r="G129" t="s">
        <v>90</v>
      </c>
      <c r="H129" t="s">
        <v>91</v>
      </c>
      <c r="I129" s="90"/>
    </row>
    <row r="130" spans="1:9" x14ac:dyDescent="0.3">
      <c r="A130" t="s">
        <v>92</v>
      </c>
      <c r="B130" s="86" t="s">
        <v>93</v>
      </c>
      <c r="C130" t="s">
        <v>94</v>
      </c>
      <c r="D130" t="s">
        <v>95</v>
      </c>
      <c r="E130" s="94"/>
      <c r="F130" t="s">
        <v>96</v>
      </c>
      <c r="G130" t="s">
        <v>42</v>
      </c>
      <c r="H130" t="s">
        <v>97</v>
      </c>
      <c r="I130" s="90"/>
    </row>
    <row r="131" spans="1:9" x14ac:dyDescent="0.3">
      <c r="A131" t="s">
        <v>98</v>
      </c>
      <c r="B131" s="86" t="s">
        <v>25</v>
      </c>
      <c r="C131" t="s">
        <v>99</v>
      </c>
      <c r="D131" t="s">
        <v>100</v>
      </c>
      <c r="F131" t="s">
        <v>41</v>
      </c>
      <c r="G131" t="s">
        <v>101</v>
      </c>
      <c r="H131" t="s">
        <v>102</v>
      </c>
    </row>
    <row r="132" spans="1:9" x14ac:dyDescent="0.3">
      <c r="A132" t="s">
        <v>103</v>
      </c>
      <c r="B132" s="86" t="s">
        <v>104</v>
      </c>
      <c r="C132" t="s">
        <v>27</v>
      </c>
      <c r="D132" t="s">
        <v>105</v>
      </c>
      <c r="F132" t="s">
        <v>106</v>
      </c>
      <c r="G132" t="s">
        <v>107</v>
      </c>
      <c r="H132" t="s">
        <v>108</v>
      </c>
    </row>
    <row r="133" spans="1:9" x14ac:dyDescent="0.3">
      <c r="A133" t="s">
        <v>109</v>
      </c>
      <c r="C133" t="s">
        <v>110</v>
      </c>
      <c r="D133" t="s">
        <v>107</v>
      </c>
      <c r="F133" t="s">
        <v>111</v>
      </c>
      <c r="G133" t="s">
        <v>112</v>
      </c>
      <c r="H133" t="s">
        <v>113</v>
      </c>
    </row>
    <row r="134" spans="1:9" x14ac:dyDescent="0.3">
      <c r="A134" t="s">
        <v>114</v>
      </c>
      <c r="C134" t="s">
        <v>115</v>
      </c>
      <c r="D134" t="s">
        <v>112</v>
      </c>
      <c r="F134" s="50" t="s">
        <v>116</v>
      </c>
      <c r="G134" t="s">
        <v>117</v>
      </c>
      <c r="H134" t="s">
        <v>118</v>
      </c>
    </row>
    <row r="135" spans="1:9" x14ac:dyDescent="0.3">
      <c r="A135" t="s">
        <v>119</v>
      </c>
      <c r="C135" t="s">
        <v>120</v>
      </c>
      <c r="D135" t="s">
        <v>121</v>
      </c>
      <c r="F135" t="s">
        <v>122</v>
      </c>
      <c r="G135" t="s">
        <v>123</v>
      </c>
      <c r="H135" t="s">
        <v>124</v>
      </c>
    </row>
    <row r="136" spans="1:9" x14ac:dyDescent="0.3">
      <c r="A136" t="s">
        <v>23</v>
      </c>
      <c r="C136" t="s">
        <v>125</v>
      </c>
      <c r="F136" t="s">
        <v>126</v>
      </c>
      <c r="G136" t="s">
        <v>127</v>
      </c>
      <c r="H136" t="s">
        <v>44</v>
      </c>
    </row>
    <row r="137" spans="1:9" x14ac:dyDescent="0.3">
      <c r="A137" t="s">
        <v>128</v>
      </c>
      <c r="C137" t="s">
        <v>129</v>
      </c>
      <c r="F137" t="s">
        <v>130</v>
      </c>
      <c r="G137" t="s">
        <v>131</v>
      </c>
      <c r="H137" t="s">
        <v>132</v>
      </c>
    </row>
    <row r="138" spans="1:9" x14ac:dyDescent="0.3">
      <c r="A138" t="s">
        <v>133</v>
      </c>
      <c r="C138" s="50" t="s">
        <v>134</v>
      </c>
      <c r="F138" t="s">
        <v>135</v>
      </c>
      <c r="G138" t="s">
        <v>136</v>
      </c>
    </row>
    <row r="139" spans="1:9" x14ac:dyDescent="0.3">
      <c r="A139" t="s">
        <v>137</v>
      </c>
      <c r="C139" t="s">
        <v>138</v>
      </c>
      <c r="F139" t="s">
        <v>139</v>
      </c>
      <c r="G139" t="s">
        <v>140</v>
      </c>
    </row>
    <row r="140" spans="1:9" x14ac:dyDescent="0.3">
      <c r="A140" t="s">
        <v>141</v>
      </c>
      <c r="C140" t="s">
        <v>142</v>
      </c>
      <c r="F140" t="s">
        <v>143</v>
      </c>
      <c r="G140" t="s">
        <v>144</v>
      </c>
    </row>
    <row r="141" spans="1:9" x14ac:dyDescent="0.3">
      <c r="A141" t="s">
        <v>145</v>
      </c>
      <c r="C141" t="s">
        <v>146</v>
      </c>
      <c r="F141" t="s">
        <v>147</v>
      </c>
      <c r="G141" t="s">
        <v>148</v>
      </c>
    </row>
    <row r="142" spans="1:9" x14ac:dyDescent="0.3">
      <c r="A142" t="s">
        <v>149</v>
      </c>
      <c r="C142" t="s">
        <v>150</v>
      </c>
      <c r="F142" s="50" t="s">
        <v>151</v>
      </c>
      <c r="G142" t="s">
        <v>152</v>
      </c>
    </row>
    <row r="143" spans="1:9" x14ac:dyDescent="0.3">
      <c r="C143" t="s">
        <v>153</v>
      </c>
      <c r="F143" t="s">
        <v>154</v>
      </c>
      <c r="G143" t="s">
        <v>155</v>
      </c>
    </row>
    <row r="144" spans="1:9" x14ac:dyDescent="0.3">
      <c r="C144" t="s">
        <v>156</v>
      </c>
      <c r="F144" t="s">
        <v>157</v>
      </c>
      <c r="G144" t="s">
        <v>158</v>
      </c>
    </row>
    <row r="145" spans="3:7" x14ac:dyDescent="0.3">
      <c r="C145" t="s">
        <v>159</v>
      </c>
      <c r="F145" t="s">
        <v>160</v>
      </c>
      <c r="G145" t="s">
        <v>161</v>
      </c>
    </row>
    <row r="146" spans="3:7" x14ac:dyDescent="0.3">
      <c r="C146" t="s">
        <v>162</v>
      </c>
      <c r="F146" t="s">
        <v>163</v>
      </c>
    </row>
    <row r="147" spans="3:7" x14ac:dyDescent="0.3">
      <c r="C147" s="50" t="s">
        <v>164</v>
      </c>
      <c r="F147" t="s">
        <v>165</v>
      </c>
    </row>
    <row r="148" spans="3:7" x14ac:dyDescent="0.3">
      <c r="C148" t="s">
        <v>166</v>
      </c>
      <c r="F148" t="s">
        <v>167</v>
      </c>
    </row>
    <row r="149" spans="3:7" x14ac:dyDescent="0.3">
      <c r="F149" s="50" t="s">
        <v>164</v>
      </c>
    </row>
    <row r="150" spans="3:7" x14ac:dyDescent="0.3">
      <c r="F150" t="s">
        <v>168</v>
      </c>
    </row>
    <row r="151" spans="3:7" x14ac:dyDescent="0.3">
      <c r="F151" t="s">
        <v>169</v>
      </c>
    </row>
    <row r="152" spans="3:7" x14ac:dyDescent="0.3">
      <c r="F152" t="s">
        <v>170</v>
      </c>
    </row>
    <row r="153" spans="3:7" x14ac:dyDescent="0.3">
      <c r="F153" t="s">
        <v>171</v>
      </c>
    </row>
    <row r="154" spans="3:7" x14ac:dyDescent="0.3">
      <c r="F154" t="s">
        <v>172</v>
      </c>
    </row>
    <row r="155" spans="3:7" x14ac:dyDescent="0.3">
      <c r="F155" t="s">
        <v>173</v>
      </c>
    </row>
    <row r="156" spans="3:7" x14ac:dyDescent="0.3">
      <c r="F156" t="s">
        <v>174</v>
      </c>
    </row>
    <row r="157" spans="3:7" x14ac:dyDescent="0.3">
      <c r="F157" t="s">
        <v>175</v>
      </c>
    </row>
    <row r="158" spans="3:7" x14ac:dyDescent="0.3">
      <c r="F158" t="s">
        <v>176</v>
      </c>
    </row>
    <row r="159" spans="3:7" x14ac:dyDescent="0.3">
      <c r="F159" t="s">
        <v>177</v>
      </c>
    </row>
    <row r="160" spans="3:7" x14ac:dyDescent="0.3">
      <c r="F160" t="s">
        <v>178</v>
      </c>
    </row>
    <row r="161" spans="6:6" x14ac:dyDescent="0.3">
      <c r="F161" t="s">
        <v>179</v>
      </c>
    </row>
    <row r="162" spans="6:6" x14ac:dyDescent="0.3">
      <c r="F162" t="s">
        <v>180</v>
      </c>
    </row>
  </sheetData>
  <mergeCells count="80">
    <mergeCell ref="A53:D53"/>
    <mergeCell ref="E53:G53"/>
    <mergeCell ref="H53:K53"/>
    <mergeCell ref="A51:D51"/>
    <mergeCell ref="E51:H51"/>
    <mergeCell ref="I51:K51"/>
    <mergeCell ref="A52:D52"/>
    <mergeCell ref="E52:H52"/>
    <mergeCell ref="I52:K52"/>
    <mergeCell ref="F41:H41"/>
    <mergeCell ref="I41:K41"/>
    <mergeCell ref="A46:K46"/>
    <mergeCell ref="A47:B47"/>
    <mergeCell ref="C47:K47"/>
    <mergeCell ref="A50:D50"/>
    <mergeCell ref="E50:H50"/>
    <mergeCell ref="I50:K50"/>
    <mergeCell ref="H37:I37"/>
    <mergeCell ref="J37:K37"/>
    <mergeCell ref="F38:H38"/>
    <mergeCell ref="I38:K38"/>
    <mergeCell ref="A39:B40"/>
    <mergeCell ref="F39:H39"/>
    <mergeCell ref="I39:K39"/>
    <mergeCell ref="F40:H40"/>
    <mergeCell ref="I40:K40"/>
    <mergeCell ref="A33:C33"/>
    <mergeCell ref="F33:H33"/>
    <mergeCell ref="I33:K33"/>
    <mergeCell ref="H35:I35"/>
    <mergeCell ref="J35:K35"/>
    <mergeCell ref="H36:I36"/>
    <mergeCell ref="J36:K36"/>
    <mergeCell ref="D30:E30"/>
    <mergeCell ref="F30:I30"/>
    <mergeCell ref="J30:K30"/>
    <mergeCell ref="D31:E31"/>
    <mergeCell ref="F31:I31"/>
    <mergeCell ref="J31:K31"/>
    <mergeCell ref="D28:E28"/>
    <mergeCell ref="F28:I28"/>
    <mergeCell ref="J28:K28"/>
    <mergeCell ref="D29:E29"/>
    <mergeCell ref="F29:H29"/>
    <mergeCell ref="I29:K29"/>
    <mergeCell ref="A24:K24"/>
    <mergeCell ref="A25:C25"/>
    <mergeCell ref="D25:E25"/>
    <mergeCell ref="F25:H25"/>
    <mergeCell ref="I25:K25"/>
    <mergeCell ref="D27:E27"/>
    <mergeCell ref="F27:I27"/>
    <mergeCell ref="J27:K27"/>
    <mergeCell ref="A21:C21"/>
    <mergeCell ref="D21:E21"/>
    <mergeCell ref="F21:G21"/>
    <mergeCell ref="H21:I21"/>
    <mergeCell ref="J21:K21"/>
    <mergeCell ref="A22:K23"/>
    <mergeCell ref="A18:C18"/>
    <mergeCell ref="D18:E18"/>
    <mergeCell ref="F18:G18"/>
    <mergeCell ref="H18:K18"/>
    <mergeCell ref="A19:C19"/>
    <mergeCell ref="D19:E19"/>
    <mergeCell ref="F19:G19"/>
    <mergeCell ref="H19:K19"/>
    <mergeCell ref="A15:C15"/>
    <mergeCell ref="E15:G15"/>
    <mergeCell ref="I15:K15"/>
    <mergeCell ref="A16:C16"/>
    <mergeCell ref="E16:G16"/>
    <mergeCell ref="I16:K16"/>
    <mergeCell ref="A9:K9"/>
    <mergeCell ref="A11:C11"/>
    <mergeCell ref="D11:F11"/>
    <mergeCell ref="A12:C12"/>
    <mergeCell ref="D12:F12"/>
    <mergeCell ref="G12:I12"/>
    <mergeCell ref="J12:K12"/>
  </mergeCells>
  <dataValidations count="9">
    <dataValidation type="list" allowBlank="1" showInputMessage="1" showErrorMessage="1" sqref="I39:K40" xr:uid="{5B14C988-E9E5-438C-98D2-4C0C68DE5C85}">
      <formula1>$G$127:$G$144</formula1>
    </dataValidation>
    <dataValidation type="list" allowBlank="1" showInputMessage="1" showErrorMessage="1" sqref="I29:K29" xr:uid="{3A4231A2-8705-4F48-9852-DA2524C1E3A8}">
      <formula1>$D$127:$D$135</formula1>
    </dataValidation>
    <dataValidation type="list" allowBlank="1" showInputMessage="1" showErrorMessage="1" sqref="F41" xr:uid="{A0D2F5FB-5787-48C9-A658-A7DC716B7652}">
      <formula1>$H$127:$H$137</formula1>
    </dataValidation>
    <dataValidation type="list" allowBlank="1" showInputMessage="1" showErrorMessage="1" sqref="F39:F40" xr:uid="{CC8D63AA-FDA2-4110-8BFC-CB34FCAD5AE3}">
      <formula1>$F$127:$F$162</formula1>
    </dataValidation>
    <dataValidation type="list" allowBlank="1" showInputMessage="1" showErrorMessage="1" sqref="F38 I38" xr:uid="{E017E6A9-CC58-4EA2-97CC-50D63AB761CE}">
      <formula1>$E$127:$E$129</formula1>
    </dataValidation>
    <dataValidation type="list" allowBlank="1" showInputMessage="1" showErrorMessage="1" sqref="F29" xr:uid="{B0310E20-B8C3-48A3-A28E-817E8E4D11A9}">
      <formula1>$C$127:$C$146</formula1>
    </dataValidation>
    <dataValidation type="list" allowBlank="1" showInputMessage="1" showErrorMessage="1" sqref="D28:E28" xr:uid="{FD0BA542-3EE3-4B16-AD78-3D9A32745265}">
      <formula1>$B$127:$B$132131</formula1>
    </dataValidation>
    <dataValidation type="list" allowBlank="1" showInputMessage="1" showErrorMessage="1" sqref="D27" xr:uid="{FDBDC9F4-C0A0-4E6C-82C6-E591F26DE737}">
      <formula1>$A$127:$A$142</formula1>
    </dataValidation>
    <dataValidation type="list" allowBlank="1" showInputMessage="1" showErrorMessage="1" sqref="A50:D50" xr:uid="{8D6E75E6-0AF6-4FB9-A25F-304F4376657D}">
      <formula1>$A$59:$A$63</formula1>
    </dataValidation>
  </dataValidations>
  <pageMargins left="0.25" right="0.25" top="0.75" bottom="0.75" header="0.3" footer="0.3"/>
  <pageSetup paperSize="9" orientation="portrait" horizontalDpi="360" verticalDpi="360" r:id="rId1"/>
  <headerFooter>
    <oddFooter>&amp;RDOH-CHD7-CL-Form-13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 MF</vt:lpstr>
      <vt:lpstr>'SE MF'!Print_Area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2026-02-01T09:43:35Z</dcterms:created>
  <dcterms:modified xsi:type="dcterms:W3CDTF">2026-02-01T09:43:37Z</dcterms:modified>
</cp:coreProperties>
</file>