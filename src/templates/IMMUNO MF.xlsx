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AF8D0858-AEE2-4637-8003-98288728858E}" xr6:coauthVersionLast="47" xr6:coauthVersionMax="47" xr10:uidLastSave="{00000000-0000-0000-0000-000000000000}"/>
  <bookViews>
    <workbookView xWindow="-108" yWindow="-108" windowWidth="23256" windowHeight="12456" xr2:uid="{8EAAD942-4E6B-4CA9-BA4B-94DF4368790D}"/>
  </bookViews>
  <sheets>
    <sheet name="IMMUNO MF" sheetId="1" r:id="rId1"/>
  </sheets>
  <definedNames>
    <definedName name="_xlnm.Print_Area" localSheetId="0">'IMMUNO MF'!$A$1:$K$53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" l="1"/>
  <c r="A21" i="1"/>
  <c r="F21" i="1" s="1"/>
  <c r="D19" i="1"/>
</calcChain>
</file>

<file path=xl/sharedStrings.xml><?xml version="1.0" encoding="utf-8"?>
<sst xmlns="http://schemas.openxmlformats.org/spreadsheetml/2006/main" count="64" uniqueCount="62">
  <si>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</si>
  <si>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</si>
  <si>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</si>
  <si>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</si>
  <si>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</si>
  <si>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</si>
  <si>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</si>
  <si>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</si>
  <si>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</si>
  <si>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</si>
  <si>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</si>
  <si>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</si>
  <si>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rPr>
        <sz val="11"/>
        <color theme="1"/>
        <rFont val="Times New Roman"/>
        <family val="1"/>
      </rP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</si>
  <si>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rPr>
        <sz val="11"/>
        <color theme="1"/>
        <rFont val="Times New Roman"/>
        <family val="1"/>
      </rP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</si>
  <si>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</si>
  <si>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 xml:space="preserve">IMMUNOLOGY-SEROLOGY </t>
  </si>
  <si>
    <t>TEST PARAMETER</t>
  </si>
  <si>
    <t>RESULT</t>
  </si>
  <si>
    <t>Human Immunodefiency Virus</t>
  </si>
  <si>
    <t>anti - HIV 1/2</t>
  </si>
  <si>
    <t>Hepatitis B</t>
  </si>
  <si>
    <t>HBsAg</t>
  </si>
  <si>
    <t>Hepatitis C</t>
  </si>
  <si>
    <t>anti - HCV</t>
  </si>
  <si>
    <t>Syphilis</t>
  </si>
  <si>
    <t>anti - T. pallidum</t>
  </si>
  <si>
    <t>Dengue Duo</t>
  </si>
  <si>
    <t>Denge NS1 Ag</t>
  </si>
  <si>
    <t>Dengue IgM</t>
  </si>
  <si>
    <t>Dengue IgG</t>
  </si>
  <si>
    <t>Pregnancy Test</t>
  </si>
  <si>
    <t>β-hCG</t>
  </si>
  <si>
    <t>This is an electronically generated result. Please correlate the results clinically.</t>
  </si>
  <si>
    <t xml:space="preserve">REMARKS: </t>
  </si>
  <si>
    <t>WHOLE BLOOD SPECIMEN USED.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</si>
  <si>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</si>
  <si>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</si>
  <si>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</si>
  <si>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</si>
  <si>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</si>
  <si>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</si>
  <si>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</si>
  <si>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</si>
  <si>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</si>
  <si>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</si>
  <si>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</si>
  <si>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</si>
  <si>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</si>
  <si>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</si>
  <si>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</si>
  <si>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</si>
  <si>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</si>
  <si>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</si>
  <si>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</si>
  <si>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</si>
  <si>
    <t>REACTIVE</t>
  </si>
  <si>
    <t>NON-REACTIVE</t>
  </si>
  <si>
    <t>POSITIVE</t>
  </si>
  <si>
    <t>NEGATIVE</t>
  </si>
  <si>
    <t>REMARKS</t>
  </si>
  <si>
    <t>SERUM SPECIMEN USED.</t>
  </si>
  <si>
    <t>PLASMA SPECIMEN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</si>
</sst>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</font>
    <font>
      <i/>
      <sz val="7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BA06A0"/>
        <bgColor indexed="64"/>
      </patternFill>
    </fill>
    <fill>
      <patternFill patternType="solid">
        <fgColor rgb="FFF3DFE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8" fontId="2" fillId="0" borderId="7" xfId="0" applyNumberFormat="1" applyFont="1" applyBorder="1" applyAlignment="1">
      <alignment horizontal="center"/>
    </xf>
    <xf numFmtId="18" fontId="2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/>
    <xf numFmtId="0" fontId="8" fillId="0" borderId="14" xfId="0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164" fontId="2" fillId="0" borderId="8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2" xfId="0" applyFont="1" applyBorder="1"/>
    <xf numFmtId="0" fontId="2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13" fillId="0" borderId="1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/>
    <xf numFmtId="49" fontId="0" fillId="0" borderId="5" xfId="0" applyNumberFormat="1" applyBorder="1"/>
    <xf numFmtId="0" fontId="9" fillId="0" borderId="0" xfId="0" applyFont="1" applyAlignment="1">
      <alignment vertical="center"/>
    </xf>
    <xf numFmtId="49" fontId="15" fillId="0" borderId="0" xfId="0" applyNumberFormat="1" applyFont="1" applyAlignment="1">
      <alignment horizontal="center"/>
    </xf>
    <xf numFmtId="0" fontId="13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0" borderId="0" xfId="0" applyFont="1"/>
    <xf numFmtId="49" fontId="2" fillId="0" borderId="0" xfId="0" applyNumberFormat="1" applyFont="1"/>
    <xf numFmtId="0" fontId="9" fillId="0" borderId="0" xfId="0" applyFont="1"/>
    <xf numFmtId="49" fontId="0" fillId="0" borderId="0" xfId="0" applyNumberFormat="1" applyAlignment="1">
      <alignment horizontal="center"/>
    </xf>
    <xf numFmtId="49" fontId="0" fillId="0" borderId="5" xfId="0" applyNumberFormat="1" applyBorder="1" applyAlignment="1">
      <alignment horizontal="center"/>
    </xf>
    <xf numFmtId="0" fontId="17" fillId="0" borderId="0" xfId="0" applyFont="1"/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/>
    </xf>
    <xf numFmtId="0" fontId="13" fillId="0" borderId="2" xfId="0" applyFont="1" applyBorder="1"/>
    <xf numFmtId="0" fontId="19" fillId="0" borderId="0" xfId="0" applyFont="1" applyAlignment="1">
      <alignment vertical="center"/>
    </xf>
    <xf numFmtId="0" fontId="19" fillId="0" borderId="0" xfId="0" applyFont="1"/>
    <xf numFmtId="0" fontId="0" fillId="0" borderId="0" xfId="0" applyAlignment="1">
      <alignment horizontal="lef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3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9EF92ED8-62CC-41CF-BFF5-1171889F32E2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3108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2E875F64-FF92-4C48-A4DD-DF0B9D3F70A1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3108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480060</xdr:colOff>
      <xdr:row>46</xdr:row>
      <xdr:rowOff>68580</xdr:rowOff>
    </xdr:from>
    <xdr:to>
      <xdr:col>11</xdr:col>
      <xdr:colOff>182880</xdr:colOff>
      <xdr:row>51</xdr:row>
      <xdr:rowOff>103464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15CEF8-BE33-484E-B5D9-23AB355F9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13960" y="7962900"/>
          <a:ext cx="2293620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182880</xdr:colOff>
      <xdr:row>0</xdr:row>
      <xdr:rowOff>144780</xdr:rowOff>
    </xdr:from>
    <xdr:to>
      <xdr:col>10</xdr:col>
      <xdr:colOff>498022</xdr:colOff>
      <xdr:row>5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DA93FD-AC69-40C1-8659-4D0A22ED5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2180" y="14478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175260</xdr:colOff>
      <xdr:row>1</xdr:row>
      <xdr:rowOff>0</xdr:rowOff>
    </xdr:from>
    <xdr:to>
      <xdr:col>1</xdr:col>
      <xdr:colOff>464400</xdr:colOff>
      <xdr:row>6</xdr:row>
      <xdr:rowOff>7200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95333A-3D62-4DEE-B0CE-386FC5501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8288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D7BA-EE5D-499E-9708-59E4789831BF}">
  <dimension ref="A1:K139"/>
  <sheetViews>
    <sheetView tabSelected="1" view="pageLayout" topLeftCell="A40" zoomScaleNormal="100" workbookViewId="0">
      <selection activeCell="A54" sqref="A54:D54"/>
    </sheetView>
  </sheetViews>
  <sheetFormatPr defaultColWidth="9.44140625" defaultRowHeight="14.4" x14ac:dyDescent="0.3"/>
  <cols>
    <col min="1" max="11" width="9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7.9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4.6500000000000004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x14ac:dyDescent="0.3">
      <c r="A14" s="4"/>
      <c r="K14" s="5"/>
    </row>
    <row r="15" spans="1:11" ht="15.6" x14ac:dyDescent="0.3">
      <c r="A15" s="20"/>
      <c r="B15" s="21"/>
      <c r="C15" s="21"/>
      <c r="E15" s="21"/>
      <c r="F15" s="21"/>
      <c r="G15" s="21"/>
      <c r="I15" s="21"/>
      <c r="J15" s="21"/>
      <c r="K15" s="22"/>
    </row>
    <row r="16" spans="1:11" x14ac:dyDescent="0.3">
      <c r="A16" s="23" t="s">
        <v>4</v>
      </c>
      <c r="B16" s="24"/>
      <c r="C16" s="24"/>
      <c r="D16" s="25"/>
      <c r="E16" s="24" t="s">
        <v>5</v>
      </c>
      <c r="F16" s="24"/>
      <c r="G16" s="24"/>
      <c r="H16" s="25"/>
      <c r="I16" s="24" t="s">
        <v>6</v>
      </c>
      <c r="J16" s="24"/>
      <c r="K16" s="26"/>
    </row>
    <row r="17" spans="1:11" ht="6" customHeight="1" thickBot="1" x14ac:dyDescent="0.35">
      <c r="A17" s="6"/>
      <c r="B17" s="7"/>
      <c r="C17" s="7"/>
      <c r="D17" s="7"/>
      <c r="E17" s="7"/>
      <c r="F17" s="7"/>
      <c r="G17" s="7"/>
      <c r="H17" s="7"/>
      <c r="I17" s="7"/>
      <c r="J17" s="7"/>
      <c r="K17" s="8"/>
    </row>
    <row r="18" spans="1:11" x14ac:dyDescent="0.3">
      <c r="A18" s="27" t="s">
        <v>7</v>
      </c>
      <c r="B18" s="11"/>
      <c r="C18" s="12"/>
      <c r="D18" s="10" t="s">
        <v>8</v>
      </c>
      <c r="E18" s="12"/>
      <c r="F18" s="10" t="s">
        <v>9</v>
      </c>
      <c r="G18" s="12"/>
      <c r="H18" s="10" t="s">
        <v>10</v>
      </c>
      <c r="I18" s="11"/>
      <c r="J18" s="11"/>
      <c r="K18" s="12"/>
    </row>
    <row r="19" spans="1:11" ht="15" thickBot="1" x14ac:dyDescent="0.35">
      <c r="A19" s="16"/>
      <c r="B19" s="17"/>
      <c r="C19" s="28"/>
      <c r="D19" s="13">
        <f ca="1">INT((TODAY()-A19)/365.25)</f>
        <v>126</v>
      </c>
      <c r="E19" s="15"/>
      <c r="F19" s="13" t="s">
        <v>11</v>
      </c>
      <c r="G19" s="15"/>
      <c r="H19" s="13"/>
      <c r="I19" s="14"/>
      <c r="J19" s="14"/>
      <c r="K19" s="15"/>
    </row>
    <row r="20" spans="1:11" ht="14.4" customHeight="1" x14ac:dyDescent="0.3">
      <c r="A20" s="29" t="s">
        <v>12</v>
      </c>
      <c r="B20" s="2"/>
      <c r="C20" s="2"/>
      <c r="D20" s="2"/>
      <c r="E20" s="3"/>
      <c r="F20" s="30" t="s">
        <v>13</v>
      </c>
      <c r="G20" s="2"/>
      <c r="H20" s="2"/>
      <c r="I20" s="2"/>
      <c r="J20" s="29" t="s">
        <v>14</v>
      </c>
      <c r="K20" s="3"/>
    </row>
    <row r="21" spans="1:11" ht="15" thickBot="1" x14ac:dyDescent="0.35">
      <c r="A21" s="16">
        <f>G12</f>
        <v>0</v>
      </c>
      <c r="B21" s="17"/>
      <c r="C21" s="17"/>
      <c r="D21" s="18">
        <v>0.375</v>
      </c>
      <c r="E21" s="19"/>
      <c r="F21" s="16">
        <f>A21</f>
        <v>0</v>
      </c>
      <c r="G21" s="17"/>
      <c r="H21" s="18">
        <v>0.45833333333333331</v>
      </c>
      <c r="I21" s="19"/>
      <c r="J21" s="31"/>
      <c r="K21" s="32"/>
    </row>
    <row r="22" spans="1:11" ht="14.4" customHeight="1" x14ac:dyDescent="0.3">
      <c r="A22" s="33" t="s">
        <v>15</v>
      </c>
      <c r="B22" s="34"/>
      <c r="C22" s="34"/>
      <c r="D22" s="34"/>
      <c r="E22" s="34"/>
      <c r="F22" s="34"/>
      <c r="G22" s="34"/>
      <c r="H22" s="34"/>
      <c r="I22" s="34"/>
      <c r="J22" s="34"/>
      <c r="K22" s="35"/>
    </row>
    <row r="23" spans="1:11" ht="15" customHeight="1" thickBot="1" x14ac:dyDescent="0.3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8"/>
    </row>
    <row r="24" spans="1:11" ht="18" thickBot="1" x14ac:dyDescent="0.35">
      <c r="A24" s="39"/>
      <c r="B24" s="40"/>
      <c r="C24" s="40"/>
      <c r="D24" s="40"/>
      <c r="E24" s="40"/>
      <c r="F24" s="40"/>
      <c r="G24" s="40"/>
      <c r="H24" s="40"/>
      <c r="I24" s="40"/>
      <c r="J24" s="40"/>
      <c r="K24" s="41"/>
    </row>
    <row r="25" spans="1:11" ht="15" thickBot="1" x14ac:dyDescent="0.35">
      <c r="A25" s="42" t="s">
        <v>16</v>
      </c>
      <c r="B25" s="43"/>
      <c r="C25" s="43"/>
      <c r="D25" s="43"/>
      <c r="E25" s="43"/>
      <c r="F25" s="44"/>
      <c r="G25" s="42" t="s">
        <v>17</v>
      </c>
      <c r="H25" s="43"/>
      <c r="I25" s="43"/>
      <c r="J25" s="43"/>
      <c r="K25" s="44"/>
    </row>
    <row r="26" spans="1:11" ht="5.55" customHeight="1" x14ac:dyDescent="0.3">
      <c r="A26" s="45"/>
      <c r="B26" s="46"/>
      <c r="C26" s="46"/>
      <c r="D26" s="2"/>
      <c r="E26" s="2"/>
      <c r="F26" s="2"/>
      <c r="J26" s="47"/>
      <c r="K26" s="5"/>
    </row>
    <row r="27" spans="1:11" ht="15.6" x14ac:dyDescent="0.3">
      <c r="A27" s="4"/>
      <c r="B27" s="48" t="s">
        <v>18</v>
      </c>
      <c r="C27" s="49"/>
      <c r="D27" s="49"/>
      <c r="E27" s="49"/>
      <c r="F27" s="49"/>
      <c r="G27" s="50"/>
      <c r="H27" s="50"/>
      <c r="I27" s="50"/>
      <c r="J27" s="50"/>
      <c r="K27" s="51"/>
    </row>
    <row r="28" spans="1:11" ht="18" x14ac:dyDescent="0.35">
      <c r="A28" s="4"/>
      <c r="B28" s="49"/>
      <c r="C28" s="52" t="s">
        <v>19</v>
      </c>
      <c r="D28" s="49"/>
      <c r="E28" s="49"/>
      <c r="F28" s="49"/>
      <c r="G28" s="50"/>
      <c r="H28" s="53"/>
      <c r="I28" s="53"/>
      <c r="J28" s="53"/>
      <c r="K28" s="51"/>
    </row>
    <row r="29" spans="1:11" ht="5.55" customHeight="1" x14ac:dyDescent="0.3">
      <c r="A29" s="54"/>
      <c r="B29" s="55"/>
      <c r="C29" s="55"/>
      <c r="J29" s="47"/>
      <c r="K29" s="5"/>
    </row>
    <row r="30" spans="1:11" x14ac:dyDescent="0.3">
      <c r="A30" s="4"/>
      <c r="B30" s="56" t="s">
        <v>20</v>
      </c>
      <c r="C30" s="57"/>
      <c r="E30" s="58"/>
      <c r="F30" s="58"/>
      <c r="G30" s="50"/>
      <c r="H30" s="50"/>
      <c r="I30" s="50"/>
      <c r="J30" s="50"/>
      <c r="K30" s="51"/>
    </row>
    <row r="31" spans="1:11" ht="18" x14ac:dyDescent="0.35">
      <c r="A31" s="4"/>
      <c r="B31" s="55"/>
      <c r="C31" s="59" t="s">
        <v>21</v>
      </c>
      <c r="E31" s="58"/>
      <c r="F31" s="58"/>
      <c r="G31" s="50"/>
      <c r="H31" s="53"/>
      <c r="I31" s="53"/>
      <c r="J31" s="53"/>
      <c r="K31" s="51"/>
    </row>
    <row r="32" spans="1:11" ht="5.55" customHeight="1" x14ac:dyDescent="0.3">
      <c r="A32" s="54"/>
      <c r="B32" s="55"/>
      <c r="C32" s="55"/>
      <c r="J32" s="47"/>
      <c r="K32" s="5"/>
    </row>
    <row r="33" spans="1:11" x14ac:dyDescent="0.3">
      <c r="A33" s="4"/>
      <c r="B33" s="56" t="s">
        <v>22</v>
      </c>
      <c r="C33" s="57"/>
      <c r="E33" s="58"/>
      <c r="F33" s="58"/>
      <c r="G33" s="50"/>
      <c r="H33" s="50"/>
      <c r="I33" s="50"/>
      <c r="J33" s="50"/>
      <c r="K33" s="51"/>
    </row>
    <row r="34" spans="1:11" ht="18" x14ac:dyDescent="0.35">
      <c r="A34" s="4"/>
      <c r="B34" s="55"/>
      <c r="C34" s="59" t="s">
        <v>23</v>
      </c>
      <c r="E34" s="58"/>
      <c r="F34" s="58"/>
      <c r="G34" s="50"/>
      <c r="H34" s="53"/>
      <c r="I34" s="53"/>
      <c r="J34" s="53"/>
      <c r="K34" s="51"/>
    </row>
    <row r="35" spans="1:11" ht="5.55" customHeight="1" x14ac:dyDescent="0.3">
      <c r="A35" s="54"/>
      <c r="B35" s="55"/>
      <c r="C35" s="55"/>
      <c r="J35" s="47"/>
      <c r="K35" s="5"/>
    </row>
    <row r="36" spans="1:11" x14ac:dyDescent="0.3">
      <c r="A36" s="4"/>
      <c r="B36" s="56" t="s">
        <v>24</v>
      </c>
      <c r="C36" s="57"/>
      <c r="E36" s="58"/>
      <c r="F36" s="58"/>
      <c r="G36" s="50"/>
      <c r="H36" s="50"/>
      <c r="I36" s="50"/>
      <c r="J36" s="50"/>
      <c r="K36" s="51"/>
    </row>
    <row r="37" spans="1:11" ht="18" x14ac:dyDescent="0.35">
      <c r="A37" s="4"/>
      <c r="B37" s="49"/>
      <c r="C37" s="59" t="s">
        <v>25</v>
      </c>
      <c r="E37" s="58"/>
      <c r="F37" s="58"/>
      <c r="G37" s="50"/>
      <c r="H37" s="53"/>
      <c r="I37" s="53"/>
      <c r="J37" s="53"/>
      <c r="K37" s="51"/>
    </row>
    <row r="38" spans="1:11" ht="5.55" customHeight="1" x14ac:dyDescent="0.3">
      <c r="A38" s="54"/>
      <c r="B38" s="55"/>
      <c r="C38" s="55"/>
      <c r="J38" s="47"/>
      <c r="K38" s="5"/>
    </row>
    <row r="39" spans="1:11" x14ac:dyDescent="0.3">
      <c r="A39" s="4"/>
      <c r="B39" s="56" t="s">
        <v>26</v>
      </c>
      <c r="C39" s="55"/>
      <c r="D39" s="55"/>
      <c r="E39" s="58"/>
      <c r="F39" s="58"/>
      <c r="G39" s="50"/>
      <c r="H39" s="50"/>
      <c r="I39" s="50"/>
      <c r="J39" s="50"/>
      <c r="K39" s="51"/>
    </row>
    <row r="40" spans="1:11" ht="18" x14ac:dyDescent="0.35">
      <c r="A40" s="4"/>
      <c r="B40" s="49"/>
      <c r="C40" s="59" t="s">
        <v>27</v>
      </c>
      <c r="E40" s="58"/>
      <c r="F40" s="58"/>
      <c r="G40" s="50"/>
      <c r="H40" s="53"/>
      <c r="I40" s="53"/>
      <c r="J40" s="53"/>
      <c r="K40" s="51"/>
    </row>
    <row r="41" spans="1:11" ht="18" x14ac:dyDescent="0.35">
      <c r="A41" s="4"/>
      <c r="B41" s="49"/>
      <c r="C41" s="59" t="s">
        <v>28</v>
      </c>
      <c r="E41" s="58"/>
      <c r="F41" s="58"/>
      <c r="G41" s="50"/>
      <c r="H41" s="53"/>
      <c r="I41" s="53"/>
      <c r="J41" s="53"/>
      <c r="K41" s="51"/>
    </row>
    <row r="42" spans="1:11" ht="18" x14ac:dyDescent="0.35">
      <c r="A42" s="4"/>
      <c r="B42" s="49"/>
      <c r="C42" s="59" t="s">
        <v>29</v>
      </c>
      <c r="E42" s="58"/>
      <c r="F42" s="58"/>
      <c r="G42" s="60"/>
      <c r="H42" s="53"/>
      <c r="I42" s="53"/>
      <c r="J42" s="53"/>
      <c r="K42" s="61"/>
    </row>
    <row r="43" spans="1:11" ht="5.55" customHeight="1" x14ac:dyDescent="0.3">
      <c r="A43" s="54"/>
      <c r="B43" s="55"/>
      <c r="C43" s="55"/>
      <c r="J43" s="47"/>
      <c r="K43" s="5"/>
    </row>
    <row r="44" spans="1:11" x14ac:dyDescent="0.3">
      <c r="A44" s="4"/>
      <c r="B44" s="56" t="s">
        <v>30</v>
      </c>
      <c r="C44" s="57"/>
      <c r="E44" s="58"/>
      <c r="F44" s="58"/>
      <c r="G44" s="50"/>
      <c r="H44" s="50"/>
      <c r="I44" s="50"/>
      <c r="J44" s="50"/>
      <c r="K44" s="51"/>
    </row>
    <row r="45" spans="1:11" ht="18" x14ac:dyDescent="0.35">
      <c r="A45" s="4"/>
      <c r="B45" s="55"/>
      <c r="C45" s="62" t="s">
        <v>31</v>
      </c>
      <c r="E45" s="58"/>
      <c r="F45" s="58"/>
      <c r="G45" s="50"/>
      <c r="H45" s="53"/>
      <c r="I45" s="53"/>
      <c r="J45" s="53"/>
      <c r="K45" s="51"/>
    </row>
    <row r="46" spans="1:11" ht="15" thickBot="1" x14ac:dyDescent="0.35">
      <c r="A46" s="63" t="s">
        <v>32</v>
      </c>
      <c r="B46" s="64"/>
      <c r="C46" s="64"/>
      <c r="D46" s="64"/>
      <c r="E46" s="64"/>
      <c r="F46" s="64"/>
      <c r="G46" s="64"/>
      <c r="H46" s="64"/>
      <c r="I46" s="64"/>
      <c r="J46" s="64"/>
      <c r="K46" s="65"/>
    </row>
    <row r="47" spans="1:11" x14ac:dyDescent="0.3">
      <c r="A47" s="66" t="s">
        <v>33</v>
      </c>
      <c r="B47" s="66"/>
      <c r="C47" s="67" t="s">
        <v>34</v>
      </c>
      <c r="D47" s="67"/>
      <c r="E47" s="67"/>
      <c r="F47" s="67"/>
      <c r="G47" s="67"/>
      <c r="H47" s="67"/>
      <c r="I47" s="67"/>
      <c r="J47" s="67"/>
      <c r="K47" s="68"/>
    </row>
    <row r="48" spans="1:11" x14ac:dyDescent="0.3">
      <c r="A48" s="69" t="s">
        <v>35</v>
      </c>
      <c r="E48" s="70" t="s">
        <v>36</v>
      </c>
      <c r="I48" s="70" t="s">
        <v>37</v>
      </c>
    </row>
    <row r="49" spans="1:11" x14ac:dyDescent="0.3">
      <c r="A49" s="69"/>
      <c r="E49" s="70"/>
      <c r="I49" s="70"/>
    </row>
    <row r="50" spans="1:11" x14ac:dyDescent="0.3">
      <c r="I50" s="71"/>
    </row>
    <row r="51" spans="1:11" x14ac:dyDescent="0.3">
      <c r="A51" s="72" t="s">
        <v>38</v>
      </c>
      <c r="B51" s="72"/>
      <c r="C51" s="72"/>
      <c r="D51" s="72"/>
      <c r="E51" s="72" t="s">
        <v>39</v>
      </c>
      <c r="F51" s="72"/>
      <c r="G51" s="72"/>
      <c r="H51" s="72"/>
      <c r="I51" s="73" t="s">
        <v>40</v>
      </c>
      <c r="J51" s="73"/>
      <c r="K51" s="73"/>
    </row>
    <row r="52" spans="1:11" x14ac:dyDescent="0.3">
      <c r="A52" s="74" t="s">
        <v>41</v>
      </c>
      <c r="B52" s="74"/>
      <c r="C52" s="74"/>
      <c r="D52" s="74"/>
      <c r="E52" s="75" t="s">
        <v>42</v>
      </c>
      <c r="F52" s="75"/>
      <c r="G52" s="75"/>
      <c r="H52" s="75"/>
      <c r="I52" s="75" t="s">
        <v>43</v>
      </c>
      <c r="J52" s="75"/>
      <c r="K52" s="75"/>
    </row>
    <row r="53" spans="1:11" x14ac:dyDescent="0.3">
      <c r="A53" s="75" t="str">
        <f>IF(A51=A60,"Lic. No. 0091946",IF(A51=A61,"Lic. No. 0068902",IF(A51=A62,"Lic. No. 0081395",IF(A51=A63,"Lic. No. 0054465",IF(A51=A64,"Lic. No. 0060939")))))</f>
        <v>Lic. No. 0068902</v>
      </c>
      <c r="B53" s="75"/>
      <c r="C53" s="75"/>
      <c r="D53" s="75"/>
      <c r="E53" s="75" t="s">
        <v>44</v>
      </c>
      <c r="F53" s="75"/>
      <c r="G53" s="75"/>
      <c r="H53" s="75"/>
      <c r="I53" s="75" t="s">
        <v>45</v>
      </c>
      <c r="J53" s="75"/>
      <c r="K53" s="75"/>
    </row>
    <row r="54" spans="1:11" x14ac:dyDescent="0.3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</row>
    <row r="56" spans="1:11" x14ac:dyDescent="0.3">
      <c r="A56" s="76"/>
      <c r="B56" s="76"/>
      <c r="C56" s="76"/>
      <c r="D56" s="76"/>
    </row>
    <row r="57" spans="1:11" x14ac:dyDescent="0.3">
      <c r="C57" s="76"/>
      <c r="D57" s="76"/>
    </row>
    <row r="58" spans="1:11" ht="14.4" customHeight="1" x14ac:dyDescent="0.3">
      <c r="C58" s="76"/>
      <c r="D58" s="76"/>
    </row>
    <row r="60" spans="1:11" x14ac:dyDescent="0.3">
      <c r="A60" s="77" t="s">
        <v>46</v>
      </c>
      <c r="B60" s="77" t="s">
        <v>47</v>
      </c>
    </row>
    <row r="61" spans="1:11" x14ac:dyDescent="0.3">
      <c r="A61" s="78" t="s">
        <v>38</v>
      </c>
      <c r="B61" s="79" t="s">
        <v>48</v>
      </c>
    </row>
    <row r="62" spans="1:11" x14ac:dyDescent="0.3">
      <c r="A62" s="78" t="s">
        <v>49</v>
      </c>
      <c r="B62" s="79" t="s">
        <v>50</v>
      </c>
    </row>
    <row r="63" spans="1:11" x14ac:dyDescent="0.3">
      <c r="A63" t="s">
        <v>51</v>
      </c>
      <c r="B63" t="s">
        <v>52</v>
      </c>
    </row>
    <row r="64" spans="1:11" x14ac:dyDescent="0.3">
      <c r="A64" t="s">
        <v>53</v>
      </c>
      <c r="B64" t="s">
        <v>54</v>
      </c>
    </row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spans="1:9" hidden="1" x14ac:dyDescent="0.3"/>
    <row r="114" spans="1:9" hidden="1" x14ac:dyDescent="0.3"/>
    <row r="115" spans="1:9" hidden="1" x14ac:dyDescent="0.3"/>
    <row r="116" spans="1:9" hidden="1" x14ac:dyDescent="0.3"/>
    <row r="117" spans="1:9" hidden="1" x14ac:dyDescent="0.3"/>
    <row r="118" spans="1:9" hidden="1" x14ac:dyDescent="0.3"/>
    <row r="119" spans="1:9" hidden="1" x14ac:dyDescent="0.3"/>
    <row r="120" spans="1:9" hidden="1" x14ac:dyDescent="0.3"/>
    <row r="121" spans="1:9" hidden="1" x14ac:dyDescent="0.3"/>
    <row r="122" spans="1:9" hidden="1" x14ac:dyDescent="0.3"/>
    <row r="123" spans="1:9" hidden="1" x14ac:dyDescent="0.3"/>
    <row r="124" spans="1:9" hidden="1" x14ac:dyDescent="0.3"/>
    <row r="125" spans="1:9" hidden="1" x14ac:dyDescent="0.3"/>
    <row r="126" spans="1:9" x14ac:dyDescent="0.3">
      <c r="C126" s="80"/>
      <c r="D126" s="81"/>
      <c r="E126" s="82"/>
      <c r="H126" s="83"/>
      <c r="I126" s="84"/>
    </row>
    <row r="127" spans="1:9" x14ac:dyDescent="0.3">
      <c r="C127" s="80"/>
      <c r="D127" s="85"/>
      <c r="E127" s="82"/>
      <c r="H127" s="86"/>
      <c r="I127" s="84"/>
    </row>
    <row r="128" spans="1:9" x14ac:dyDescent="0.3">
      <c r="A128" t="s">
        <v>55</v>
      </c>
      <c r="C128" s="80"/>
      <c r="D128" s="85"/>
      <c r="E128" s="82"/>
      <c r="H128" s="86"/>
      <c r="I128" s="84"/>
    </row>
    <row r="129" spans="1:9" x14ac:dyDescent="0.3">
      <c r="A129" t="s">
        <v>56</v>
      </c>
      <c r="C129" s="80"/>
      <c r="D129" s="85"/>
      <c r="E129" s="82"/>
      <c r="H129" s="86"/>
      <c r="I129" s="84"/>
    </row>
    <row r="130" spans="1:9" x14ac:dyDescent="0.3">
      <c r="C130" s="80"/>
      <c r="D130" s="85"/>
      <c r="E130" s="82"/>
      <c r="H130" s="86"/>
      <c r="I130" s="84"/>
    </row>
    <row r="131" spans="1:9" x14ac:dyDescent="0.3">
      <c r="C131" s="80"/>
      <c r="D131" s="85"/>
      <c r="E131" s="82"/>
      <c r="H131" s="86"/>
      <c r="I131" s="84"/>
    </row>
    <row r="132" spans="1:9" x14ac:dyDescent="0.3">
      <c r="A132" t="s">
        <v>57</v>
      </c>
      <c r="C132" s="80"/>
      <c r="D132" s="85"/>
      <c r="E132" s="82"/>
      <c r="H132" s="86"/>
      <c r="I132" s="84"/>
    </row>
    <row r="133" spans="1:9" x14ac:dyDescent="0.3">
      <c r="A133" t="s">
        <v>58</v>
      </c>
    </row>
    <row r="136" spans="1:9" x14ac:dyDescent="0.3">
      <c r="A136" s="87" t="s">
        <v>59</v>
      </c>
    </row>
    <row r="137" spans="1:9" x14ac:dyDescent="0.3">
      <c r="A137" t="s">
        <v>60</v>
      </c>
    </row>
    <row r="138" spans="1:9" x14ac:dyDescent="0.3">
      <c r="A138" t="s">
        <v>61</v>
      </c>
    </row>
    <row r="139" spans="1:9" x14ac:dyDescent="0.3">
      <c r="A139" t="s">
        <v>34</v>
      </c>
    </row>
  </sheetData>
  <mergeCells count="54">
    <mergeCell ref="A53:D53"/>
    <mergeCell ref="E53:H53"/>
    <mergeCell ref="I53:K53"/>
    <mergeCell ref="A54:D54"/>
    <mergeCell ref="E54:G54"/>
    <mergeCell ref="H54:K54"/>
    <mergeCell ref="A47:B47"/>
    <mergeCell ref="C47:J47"/>
    <mergeCell ref="A51:D51"/>
    <mergeCell ref="E51:H51"/>
    <mergeCell ref="I51:K51"/>
    <mergeCell ref="A52:D52"/>
    <mergeCell ref="E52:H52"/>
    <mergeCell ref="I52:K52"/>
    <mergeCell ref="H37:J37"/>
    <mergeCell ref="H40:J40"/>
    <mergeCell ref="H41:J41"/>
    <mergeCell ref="H42:J42"/>
    <mergeCell ref="H45:J45"/>
    <mergeCell ref="A46:K46"/>
    <mergeCell ref="A24:K24"/>
    <mergeCell ref="A25:F25"/>
    <mergeCell ref="G25:K25"/>
    <mergeCell ref="H28:J28"/>
    <mergeCell ref="H31:J31"/>
    <mergeCell ref="H34:J34"/>
    <mergeCell ref="A21:C21"/>
    <mergeCell ref="D21:E21"/>
    <mergeCell ref="F21:G21"/>
    <mergeCell ref="H21:I21"/>
    <mergeCell ref="J21:K21"/>
    <mergeCell ref="A22:K23"/>
    <mergeCell ref="A18:C18"/>
    <mergeCell ref="D18:E18"/>
    <mergeCell ref="F18:G18"/>
    <mergeCell ref="H18:K18"/>
    <mergeCell ref="A19:C19"/>
    <mergeCell ref="D19:E19"/>
    <mergeCell ref="F19:G19"/>
    <mergeCell ref="H19:K19"/>
    <mergeCell ref="A15:C15"/>
    <mergeCell ref="E15:G15"/>
    <mergeCell ref="I15:K15"/>
    <mergeCell ref="A16:C16"/>
    <mergeCell ref="E16:G16"/>
    <mergeCell ref="I16:K16"/>
    <mergeCell ref="A9:K9"/>
    <mergeCell ref="A11:C11"/>
    <mergeCell ref="D11:F11"/>
    <mergeCell ref="G11:K11"/>
    <mergeCell ref="A12:C12"/>
    <mergeCell ref="D12:F12"/>
    <mergeCell ref="G12:I12"/>
    <mergeCell ref="J12:K12"/>
  </mergeCells>
  <dataValidations count="4">
    <dataValidation type="list" allowBlank="1" showInputMessage="1" showErrorMessage="1" sqref="C47 K47" xr:uid="{C1E793AB-4A22-4B7C-B32F-886BE55DFE1C}">
      <formula1>$A$137:$A$140</formula1>
    </dataValidation>
    <dataValidation type="list" allowBlank="1" showInputMessage="1" showErrorMessage="1" sqref="H45:J45" xr:uid="{2F503163-4D76-4F30-A64E-123DF8A51416}">
      <formula1>$A$131:$A$133</formula1>
    </dataValidation>
    <dataValidation type="list" allowBlank="1" showInputMessage="1" showErrorMessage="1" sqref="H37:J37 H34:J34 H31:J31 H40:J42 H28:J28" xr:uid="{8333E8E2-FFA1-4209-B865-169E594DBE01}">
      <formula1>$A$127:$A$129</formula1>
    </dataValidation>
    <dataValidation type="list" allowBlank="1" showInputMessage="1" showErrorMessage="1" sqref="A51:D51" xr:uid="{ED77066F-2D56-4BA0-ACDF-D806A7A9585D}">
      <formula1>$A$60:$A$64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&amp;RDOH-CHD7-CL-Form-16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IMMUNO MF</vt:lpstr>
      <vt:lpstr>'IMMUNO MF'!Print_Area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2026-02-01T09:44:11Z</dcterms:created>
  <dcterms:modified xsi:type="dcterms:W3CDTF">2026-02-01T09:44:15Z</dcterms:modified>
</cp:coreProperties>
</file>