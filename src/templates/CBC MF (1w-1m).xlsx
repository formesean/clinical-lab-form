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linical-lab-form\src\templates\"/>
    </mc:Choice>
  </mc:AlternateContent>
  <xr:revisionPtr revIDLastSave="0" documentId="8_{3460611D-3A0D-496C-84A5-436CFBE55278}" xr6:coauthVersionLast="47" xr6:coauthVersionMax="47" xr10:uidLastSave="{00000000-0000-0000-0000-000000000000}"/>
  <bookViews>
    <workbookView xWindow="-108" yWindow="-108" windowWidth="23256" windowHeight="12456" xr2:uid="{36165DE6-ABFC-4B73-8E2B-88BE40CB008D}"/>
  </bookViews>
  <sheets>
    <sheet name="CBC MF (1w-1m)" sheetId="1" r:id="rId1"/>
  </sheets>
  <definedNames>
    <definedName name="_xlnm.Print_Area" localSheetId="0">'CBC MF (1w-1m)'!$A$1:$K$55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5" i="1" l="1"/>
  <c r="J47" i="1"/>
  <c r="F47" i="1"/>
  <c r="J46" i="1"/>
  <c r="F46" i="1"/>
  <c r="J45" i="1"/>
  <c r="F45" i="1"/>
  <c r="J44" i="1"/>
  <c r="F44" i="1"/>
  <c r="J43" i="1"/>
  <c r="F43" i="1"/>
  <c r="J42" i="1"/>
  <c r="F42" i="1"/>
  <c r="F37" i="1"/>
  <c r="F36" i="1"/>
  <c r="F33" i="1"/>
  <c r="F32" i="1"/>
  <c r="F31" i="1"/>
  <c r="F30" i="1"/>
  <c r="F29" i="1"/>
  <c r="F28" i="1"/>
  <c r="F27" i="1"/>
  <c r="F26" i="1"/>
  <c r="A20" i="1"/>
  <c r="F20" i="1" s="1"/>
  <c r="D18" i="1"/>
</calcChain>
</file>

<file path=xl/sharedStrings.xml><?xml version="1.0" encoding="utf-8"?>
<sst xmlns="http://schemas.openxmlformats.org/spreadsheetml/2006/main" count="117" uniqueCount="92">
  <si>
    <t xml:space="preserve">LABORATORY TEST RESULTS </t>
  </si>
  <si>
    <t>Laboratory ID No.:</t>
  </si>
  <si>
    <t>Patient ID No.:</t>
  </si>
  <si>
    <r>
      <t>Date &amp; Time of Requisition:</t>
    </r>
    <r>
      <rPr>
        <sz val="9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</si>
  <si>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t>Patient's Last Name</t>
  </si>
  <si>
    <t>Patient's First Name</t>
  </si>
  <si>
    <t>Patient's Middle Name</t>
  </si>
  <si>
    <r>
      <t xml:space="preserve">Date of Birth: </t>
    </r>
    <r>
      <rPr>
        <i/>
        <sz val="10"/>
        <color theme="1"/>
        <rFont val="Times New Roman"/>
        <family val="1"/>
      </rPr>
      <t>dd/mmm/yyyy</t>
    </r>
  </si>
  <si>
    <t>Age:</t>
  </si>
  <si>
    <t>Sex:</t>
  </si>
  <si>
    <t>Name of Requesting Phyisician:</t>
  </si>
  <si>
    <t>FEMALE</t>
  </si>
  <si>
    <r>
      <t>Date &amp; Time Performed:</t>
    </r>
    <r>
      <rPr>
        <i/>
        <sz val="11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</si>
  <si>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r>
      <t>Date &amp; Time Released:</t>
    </r>
    <r>
      <rPr>
        <i/>
        <sz val="11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</si>
  <si>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t>Location:</t>
  </si>
  <si>
    <t>HEMATOLOGY</t>
  </si>
  <si>
    <t>COMPLETE BLOOD COUNT</t>
  </si>
  <si>
    <t>TEST PARAMETER</t>
  </si>
  <si>
    <t>RESULT</t>
  </si>
  <si>
    <t>FLAG</t>
  </si>
  <si>
    <t>UNIT</t>
  </si>
  <si>
    <t>REFERENCE RANGE</t>
  </si>
  <si>
    <t>BLOOD COUNT AND INDICES</t>
  </si>
  <si>
    <r>
      <t xml:space="preserve">       White Blood Cell</t>
    </r>
    <r>
      <rPr>
        <b/>
        <sz val="10"/>
        <color theme="1"/>
        <rFont val="Times New Roman"/>
        <family val="1"/>
      </rPr>
      <t xml:space="preserve"> (WBC)</t>
    </r>
  </si>
  <si>
    <t>x10^9/L</t>
  </si>
  <si>
    <t>7.8 - 15.9</t>
  </si>
  <si>
    <r>
      <t xml:space="preserve">        Red Blood Cell</t>
    </r>
    <r>
      <rPr>
        <b/>
        <sz val="10"/>
        <color theme="1"/>
        <rFont val="Times New Roman"/>
        <family val="1"/>
      </rPr>
      <t xml:space="preserve"> (RBC)</t>
    </r>
  </si>
  <si>
    <t>x10^12/L</t>
  </si>
  <si>
    <t>3.2 - 4.8</t>
  </si>
  <si>
    <r>
      <t xml:space="preserve">        Hemoglobin</t>
    </r>
    <r>
      <rPr>
        <b/>
        <sz val="10"/>
        <color theme="1"/>
        <rFont val="Times New Roman"/>
        <family val="1"/>
      </rPr>
      <t xml:space="preserve"> </t>
    </r>
  </si>
  <si>
    <t>g/dL</t>
  </si>
  <si>
    <t>10.0 - 15.3</t>
  </si>
  <si>
    <r>
      <t xml:space="preserve">        Hematocrit</t>
    </r>
    <r>
      <rPr>
        <b/>
        <sz val="10"/>
        <color theme="1"/>
        <rFont val="Times New Roman"/>
        <family val="1"/>
      </rPr>
      <t xml:space="preserve"> </t>
    </r>
  </si>
  <si>
    <t>%</t>
  </si>
  <si>
    <t>30.0 - 45.0</t>
  </si>
  <si>
    <t xml:space="preserve">        MCV</t>
  </si>
  <si>
    <t>fL</t>
  </si>
  <si>
    <t>89.0 - 103.0</t>
  </si>
  <si>
    <t xml:space="preserve">        MCH</t>
  </si>
  <si>
    <t>pg</t>
  </si>
  <si>
    <t>30.0 - 35.0</t>
  </si>
  <si>
    <t xml:space="preserve">        MCHC</t>
  </si>
  <si>
    <t>32.7 - 35.1</t>
  </si>
  <si>
    <t xml:space="preserve">        RDW</t>
  </si>
  <si>
    <t>&lt;16.8</t>
  </si>
  <si>
    <t>PLATELET COUNT</t>
  </si>
  <si>
    <r>
      <t xml:space="preserve">        Platelet Count</t>
    </r>
    <r>
      <rPr>
        <b/>
        <sz val="10"/>
        <color theme="1"/>
        <rFont val="Times New Roman"/>
        <family val="1"/>
      </rPr>
      <t xml:space="preserve"> </t>
    </r>
  </si>
  <si>
    <t>248.0 - 586.0</t>
  </si>
  <si>
    <t xml:space="preserve">     MPV</t>
  </si>
  <si>
    <t>10.0 - 12.2</t>
  </si>
  <si>
    <t>RELATIVE COUNT</t>
  </si>
  <si>
    <t>ABSOLUTE COUNT</t>
  </si>
  <si>
    <t>WBC DIFFERENTIAL COUNT</t>
  </si>
  <si>
    <t xml:space="preserve">       Neutrophil</t>
  </si>
  <si>
    <t>40.0 - 80.0</t>
  </si>
  <si>
    <t>1.2 - 5.5</t>
  </si>
  <si>
    <t xml:space="preserve">       Lymphocyte</t>
  </si>
  <si>
    <t>10.0 - 60.0</t>
  </si>
  <si>
    <t>2.1 - 8.4</t>
  </si>
  <si>
    <t xml:space="preserve">       Monocyte</t>
  </si>
  <si>
    <t>3.0 - 13.0</t>
  </si>
  <si>
    <t>0.3 - 1.4</t>
  </si>
  <si>
    <t xml:space="preserve">       Eosinophil</t>
  </si>
  <si>
    <t>0.5 - 5.0</t>
  </si>
  <si>
    <t>0.0 - 0.8</t>
  </si>
  <si>
    <t xml:space="preserve">       Basophil</t>
  </si>
  <si>
    <t>0.0 - 1.0</t>
  </si>
  <si>
    <t>0.0 - 0.1</t>
  </si>
  <si>
    <t xml:space="preserve">       Immature Granulocyte</t>
  </si>
  <si>
    <t>0.0 - 0.2</t>
  </si>
  <si>
    <t>This is an electronically generated result. Please correlate the results clinically.</t>
  </si>
  <si>
    <t xml:space="preserve">REMARKS: </t>
  </si>
  <si>
    <t>Performed:</t>
  </si>
  <si>
    <t>Verified:</t>
  </si>
  <si>
    <t>Approved:</t>
  </si>
  <si>
    <t>PHILL JUSTIN G. GALAROZA, RMT</t>
  </si>
  <si>
    <t>ROLDAN A. CUBILLO, RMT, MPH, MMHoA</t>
  </si>
  <si>
    <t>ALMA E. MALILONG, MD, FPSP</t>
  </si>
  <si>
    <t>Medical Technologist</t>
  </si>
  <si>
    <t>Chief Medical Technologist</t>
  </si>
  <si>
    <t>Pathologist</t>
  </si>
  <si>
    <t>Lic. No. 0032751</t>
  </si>
  <si>
    <t>Lic. No. 0045935</t>
  </si>
  <si>
    <t>RICO JAMES R. GARGAR, RMT</t>
  </si>
  <si>
    <t>Lic. No. 0091946</t>
  </si>
  <si>
    <t>Lic. No. 0068902</t>
  </si>
  <si>
    <t>RAMON BRYAN A. ABELLA, RMT</t>
  </si>
  <si>
    <t>Lic. No. 0081395</t>
  </si>
  <si>
    <t>LEYSAM C. BANTILO, RMT</t>
  </si>
  <si>
    <t>Lic. No. 0054465</t>
  </si>
  <si>
    <t>RHIAN JESS E. CANILLAS, RMT</t>
  </si>
  <si>
    <t>Lic. No. 0060939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</si>
</sst>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2"/>
      <color theme="1"/>
      <name val="Calibri"/>
      <family val="2"/>
      <scheme val="minor"/>
    </font>
    <font>
      <i/>
      <sz val="10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6"/>
      <color theme="0"/>
      <name val="Times New Roman"/>
      <family val="1"/>
    </font>
    <font>
      <sz val="16"/>
      <color theme="0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FF"/>
      <name val="Calibri"/>
      <family val="2"/>
      <scheme val="minor"/>
    </font>
    <font>
      <sz val="9.5"/>
      <color theme="1"/>
      <name val="Times New Roman"/>
      <family val="1"/>
    </font>
    <font>
      <sz val="9"/>
      <color theme="1"/>
      <name val="Calibri"/>
      <family val="2"/>
      <scheme val="minor"/>
    </font>
    <font>
      <i/>
      <sz val="7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Times New Roman"/>
      <family val="1"/>
    </font>
    <font>
      <b/>
      <u/>
      <sz val="9"/>
      <color theme="1"/>
      <name val="Times New Roman"/>
      <family val="1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D3D3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8" fontId="3" fillId="0" borderId="7" xfId="0" applyNumberFormat="1" applyFont="1" applyBorder="1" applyAlignment="1">
      <alignment horizontal="center"/>
    </xf>
    <xf numFmtId="18" fontId="3" fillId="0" borderId="8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0" xfId="0" applyFont="1"/>
    <xf numFmtId="0" fontId="9" fillId="0" borderId="14" xfId="0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0" fontId="10" fillId="0" borderId="1" xfId="0" applyFont="1" applyBorder="1"/>
    <xf numFmtId="0" fontId="10" fillId="0" borderId="0" xfId="0" applyFont="1"/>
    <xf numFmtId="0" fontId="3" fillId="0" borderId="6" xfId="0" applyFont="1" applyBorder="1" applyAlignment="1">
      <alignment horizontal="center" shrinkToFit="1"/>
    </xf>
    <xf numFmtId="0" fontId="0" fillId="0" borderId="8" xfId="0" applyBorder="1" applyAlignment="1">
      <alignment horizontal="center" shrinkToFit="1"/>
    </xf>
    <xf numFmtId="0" fontId="12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15" fillId="3" borderId="15" xfId="0" applyFont="1" applyFill="1" applyBorder="1" applyAlignment="1">
      <alignment horizontal="center"/>
    </xf>
    <xf numFmtId="0" fontId="15" fillId="3" borderId="16" xfId="0" applyFont="1" applyFill="1" applyBorder="1" applyAlignment="1">
      <alignment horizontal="center"/>
    </xf>
    <xf numFmtId="0" fontId="15" fillId="3" borderId="17" xfId="0" applyFont="1" applyFill="1" applyBorder="1" applyAlignment="1">
      <alignment horizontal="center"/>
    </xf>
    <xf numFmtId="0" fontId="15" fillId="3" borderId="18" xfId="0" applyFont="1" applyFill="1" applyBorder="1" applyAlignment="1">
      <alignment horizontal="center"/>
    </xf>
    <xf numFmtId="0" fontId="16" fillId="0" borderId="4" xfId="0" applyFont="1" applyBorder="1"/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2" fontId="3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6" fillId="0" borderId="4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7" fillId="0" borderId="15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15" fillId="3" borderId="20" xfId="0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0" fontId="3" fillId="0" borderId="0" xfId="0" applyFont="1"/>
    <xf numFmtId="2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0" fillId="0" borderId="0" xfId="0" applyFont="1"/>
    <xf numFmtId="0" fontId="0" fillId="0" borderId="5" xfId="0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1" fillId="0" borderId="6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3" fillId="0" borderId="0" xfId="0" applyFont="1" applyAlignment="1">
      <alignment vertical="center"/>
    </xf>
    <xf numFmtId="0" fontId="23" fillId="0" borderId="0" xfId="0" applyFont="1"/>
    <xf numFmtId="0" fontId="0" fillId="0" borderId="0" xfId="0" applyAlignment="1">
      <alignment horizontal="left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25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6" fillId="0" borderId="0" xfId="0" applyFont="1"/>
    <xf numFmtId="0" fontId="1" fillId="0" borderId="0" xfId="0" applyFont="1"/>
    <xf numFmtId="15" fontId="0" fillId="0" borderId="0" xfId="0" applyNumberFormat="1"/>
    <xf numFmtId="18" fontId="0" fillId="0" borderId="0" xfId="0" applyNumberFormat="1"/>
    <xf numFmtId="0" fontId="27" fillId="0" borderId="0" xfId="0" applyFont="1"/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0" fontId="0" fillId="0" borderId="0" xfId="0" applyNumberFormat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4"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502920</xdr:colOff>
      <xdr:row>0</xdr:row>
      <xdr:rowOff>119380</xdr:rowOff>
    </xdr:from>
    <xdr:to>
      <xdr:col>9</xdr:col>
      <xdr:colOff>152400</xdr:colOff>
      <xdr:row>6</xdr:row>
      <xdr:rowOff>104140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C789B82C-9A8F-41B7-925F-1586E9528D28}"/>
            </a:ext>
          </a:extLst>
        </xdr:cNvPr>
        <xdr:cNvSpPr txBox="1">
          <a:spLocks noChangeArrowheads="1"/>
        </xdr:cNvSpPr>
      </xdr:nvSpPr>
      <xdr:spPr bwMode="auto">
        <a:xfrm>
          <a:off x="1150620" y="119380"/>
          <a:ext cx="4808220" cy="108204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635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Republic of the Philippines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Department of Health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CENTRAL VISAYAS CENTER FOR HEALTH DEVELOPMENT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DOH - Central Visayas Clinical Laboratory</a:t>
          </a:r>
          <a:endParaRPr lang="en-US" sz="18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Osmeña Boulevard, Sambag II, Cebu City, Cebu, Philippines</a:t>
          </a:r>
        </a:p>
      </xdr:txBody>
    </xdr:sp>
    <xdr:clientData/>
  </xdr:twoCellAnchor>
  <xdr:twoCellAnchor>
    <xdr:from>
      <xdr:col>1</xdr:col>
      <xdr:colOff>502920</xdr:colOff>
      <xdr:row>0</xdr:row>
      <xdr:rowOff>53340</xdr:rowOff>
    </xdr:from>
    <xdr:to>
      <xdr:col>9</xdr:col>
      <xdr:colOff>152400</xdr:colOff>
      <xdr:row>6</xdr:row>
      <xdr:rowOff>144060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F86BE2ED-D50F-4C20-B0F9-927998A7332F}"/>
            </a:ext>
          </a:extLst>
        </xdr:cNvPr>
        <xdr:cNvSpPr txBox="1">
          <a:spLocks noChangeArrowheads="1"/>
        </xdr:cNvSpPr>
      </xdr:nvSpPr>
      <xdr:spPr bwMode="auto">
        <a:xfrm>
          <a:off x="1150620" y="53340"/>
          <a:ext cx="4808220" cy="11880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635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0" rIns="9144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Republic of the Philippines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Department of Health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CENTRAL VISAYAS CENTER FOR HEALTH DEVELOPMENT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DOH - Central Visayas Clinical Laboratory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Osmeña Boulevard, Sambag II, Cebu City, Cebu, Philippines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License To Operate: 07-116-26-CL-1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Issued: 01 January 2026; Valid Until: 31 December 2026</a:t>
          </a:r>
        </a:p>
      </xdr:txBody>
    </xdr:sp>
    <xdr:clientData/>
  </xdr:twoCellAnchor>
  <xdr:twoCellAnchor editAs="oneCell">
    <xdr:from>
      <xdr:col>7</xdr:col>
      <xdr:colOff>518160</xdr:colOff>
      <xdr:row>48</xdr:row>
      <xdr:rowOff>114300</xdr:rowOff>
    </xdr:from>
    <xdr:to>
      <xdr:col>11</xdr:col>
      <xdr:colOff>129539</xdr:colOff>
      <xdr:row>54</xdr:row>
      <xdr:rowOff>80604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234D950-E27D-4A28-907F-71F8DBCF8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074920" y="8145780"/>
          <a:ext cx="2293619" cy="949284"/>
        </a:xfrm>
        <a:prstGeom prst="rect">
          <a:avLst/>
        </a:prstGeom>
      </xdr:spPr>
    </xdr:pic>
    <xdr:clientData/>
  </xdr:twoCellAnchor>
  <xdr:twoCellAnchor editAs="oneCell">
    <xdr:from>
      <xdr:col>9</xdr:col>
      <xdr:colOff>266700</xdr:colOff>
      <xdr:row>0</xdr:row>
      <xdr:rowOff>152400</xdr:rowOff>
    </xdr:from>
    <xdr:to>
      <xdr:col>10</xdr:col>
      <xdr:colOff>719002</xdr:colOff>
      <xdr:row>5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F6B90F3-80F2-4F81-9028-700A3A24F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73140" y="152400"/>
          <a:ext cx="962842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175260</xdr:colOff>
      <xdr:row>1</xdr:row>
      <xdr:rowOff>0</xdr:rowOff>
    </xdr:from>
    <xdr:to>
      <xdr:col>1</xdr:col>
      <xdr:colOff>464400</xdr:colOff>
      <xdr:row>6</xdr:row>
      <xdr:rowOff>7200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C6BC3B0-2CC5-4860-9916-3E2D3D38A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182880"/>
          <a:ext cx="936840" cy="92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F06D2-D951-47C5-8350-16264C10001D}">
  <dimension ref="A1:K135"/>
  <sheetViews>
    <sheetView tabSelected="1" view="pageLayout" topLeftCell="A40" zoomScaleNormal="100" workbookViewId="0">
      <selection activeCell="A56" sqref="A56"/>
    </sheetView>
  </sheetViews>
  <sheetFormatPr defaultColWidth="9.21875" defaultRowHeight="14.4" x14ac:dyDescent="0.3"/>
  <cols>
    <col min="1" max="2" width="9" customWidth="1"/>
    <col min="3" max="3" width="8" customWidth="1"/>
    <col min="4" max="4" width="11.44140625" customWidth="1"/>
    <col min="5" max="5" width="6.109375" customWidth="1"/>
    <col min="6" max="6" width="7.109375" customWidth="1"/>
    <col min="7" max="7" width="12.88671875" customWidth="1"/>
    <col min="8" max="8" width="11.33203125" customWidth="1"/>
    <col min="9" max="9" width="6.109375" customWidth="1"/>
    <col min="10" max="10" width="7.109375" customWidth="1"/>
    <col min="11" max="11" width="12.88671875" customWidth="1"/>
  </cols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K2" s="5"/>
    </row>
    <row r="3" spans="1:11" x14ac:dyDescent="0.3">
      <c r="A3" s="4"/>
      <c r="K3" s="5"/>
    </row>
    <row r="4" spans="1:11" x14ac:dyDescent="0.3">
      <c r="A4" s="4"/>
      <c r="K4" s="5"/>
    </row>
    <row r="5" spans="1:11" x14ac:dyDescent="0.3">
      <c r="A5" s="4"/>
      <c r="K5" s="5"/>
    </row>
    <row r="6" spans="1:11" x14ac:dyDescent="0.3">
      <c r="A6" s="4"/>
      <c r="K6" s="5"/>
    </row>
    <row r="7" spans="1:11" ht="13.95" customHeight="1" thickBot="1" x14ac:dyDescent="0.35">
      <c r="A7" s="6"/>
      <c r="B7" s="7"/>
      <c r="C7" s="7"/>
      <c r="D7" s="7"/>
      <c r="E7" s="7"/>
      <c r="F7" s="7"/>
      <c r="G7" s="7"/>
      <c r="H7" s="7"/>
      <c r="I7" s="7"/>
      <c r="J7" s="7"/>
      <c r="K7" s="8"/>
    </row>
    <row r="8" spans="1:11" ht="5.55" customHeight="1" x14ac:dyDescent="0.3"/>
    <row r="9" spans="1:11" ht="14.4" customHeight="1" x14ac:dyDescent="0.3">
      <c r="A9" s="9" t="s">
        <v>0</v>
      </c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ht="5.55" customHeight="1" thickBot="1" x14ac:dyDescent="0.35"/>
    <row r="11" spans="1:11" ht="15" customHeight="1" x14ac:dyDescent="0.3">
      <c r="A11" s="10" t="s">
        <v>1</v>
      </c>
      <c r="B11" s="11"/>
      <c r="C11" s="12"/>
      <c r="D11" s="10" t="s">
        <v>2</v>
      </c>
      <c r="E11" s="11"/>
      <c r="F11" s="12"/>
      <c r="G11" s="10" t="s">
        <v>3</v>
      </c>
      <c r="H11" s="11"/>
      <c r="I11" s="11"/>
      <c r="J11" s="11"/>
      <c r="K11" s="12"/>
    </row>
    <row r="12" spans="1:11" ht="15" thickBot="1" x14ac:dyDescent="0.35">
      <c r="A12" s="13"/>
      <c r="B12" s="14"/>
      <c r="C12" s="15"/>
      <c r="D12" s="13"/>
      <c r="E12" s="14"/>
      <c r="F12" s="15"/>
      <c r="G12" s="16"/>
      <c r="H12" s="17"/>
      <c r="I12" s="17"/>
      <c r="J12" s="18">
        <v>0.33333333333333331</v>
      </c>
      <c r="K12" s="19"/>
    </row>
    <row r="13" spans="1:11" ht="5.55" customHeight="1" x14ac:dyDescent="0.3">
      <c r="A13" s="1"/>
      <c r="B13" s="2"/>
      <c r="C13" s="2"/>
      <c r="D13" s="2"/>
      <c r="E13" s="2"/>
      <c r="F13" s="2"/>
      <c r="G13" s="2"/>
      <c r="H13" s="2"/>
      <c r="I13" s="2"/>
      <c r="J13" s="2"/>
      <c r="K13" s="3"/>
    </row>
    <row r="14" spans="1:11" ht="22.65" customHeight="1" x14ac:dyDescent="0.3">
      <c r="A14" s="20"/>
      <c r="B14" s="21"/>
      <c r="C14" s="21"/>
      <c r="E14" s="21"/>
      <c r="F14" s="21"/>
      <c r="G14" s="21"/>
      <c r="I14" s="21"/>
      <c r="J14" s="21"/>
      <c r="K14" s="22"/>
    </row>
    <row r="15" spans="1:11" x14ac:dyDescent="0.3">
      <c r="A15" s="23" t="s">
        <v>4</v>
      </c>
      <c r="B15" s="24"/>
      <c r="C15" s="24"/>
      <c r="D15" s="25"/>
      <c r="E15" s="24" t="s">
        <v>5</v>
      </c>
      <c r="F15" s="24"/>
      <c r="G15" s="24"/>
      <c r="H15" s="25"/>
      <c r="I15" s="24" t="s">
        <v>6</v>
      </c>
      <c r="J15" s="24"/>
      <c r="K15" s="26"/>
    </row>
    <row r="16" spans="1:11" ht="5.55" customHeight="1" thickBot="1" x14ac:dyDescent="0.35">
      <c r="A16" s="6"/>
      <c r="B16" s="7"/>
      <c r="C16" s="7"/>
      <c r="D16" s="7"/>
      <c r="E16" s="7"/>
      <c r="F16" s="7"/>
      <c r="G16" s="7"/>
      <c r="H16" s="7"/>
      <c r="I16" s="7"/>
      <c r="J16" s="7"/>
      <c r="K16" s="8"/>
    </row>
    <row r="17" spans="1:11" x14ac:dyDescent="0.3">
      <c r="A17" s="10" t="s">
        <v>7</v>
      </c>
      <c r="B17" s="11"/>
      <c r="C17" s="12"/>
      <c r="D17" s="10" t="s">
        <v>8</v>
      </c>
      <c r="E17" s="12"/>
      <c r="F17" s="10" t="s">
        <v>9</v>
      </c>
      <c r="G17" s="12"/>
      <c r="H17" s="10" t="s">
        <v>10</v>
      </c>
      <c r="I17" s="11"/>
      <c r="J17" s="11"/>
      <c r="K17" s="12"/>
    </row>
    <row r="18" spans="1:11" ht="15" thickBot="1" x14ac:dyDescent="0.35">
      <c r="A18" s="16"/>
      <c r="B18" s="17"/>
      <c r="C18" s="27"/>
      <c r="D18" s="13">
        <f ca="1">INT((TODAY()-A18)/365.25)</f>
        <v>126</v>
      </c>
      <c r="E18" s="15"/>
      <c r="F18" s="13" t="s">
        <v>11</v>
      </c>
      <c r="G18" s="15"/>
      <c r="H18" s="13"/>
      <c r="I18" s="14"/>
      <c r="J18" s="14"/>
      <c r="K18" s="15"/>
    </row>
    <row r="19" spans="1:11" ht="14.4" customHeight="1" x14ac:dyDescent="0.3">
      <c r="A19" s="28" t="s">
        <v>12</v>
      </c>
      <c r="B19" s="2"/>
      <c r="C19" s="2"/>
      <c r="D19" s="2"/>
      <c r="E19" s="3"/>
      <c r="F19" s="29" t="s">
        <v>13</v>
      </c>
      <c r="J19" s="28" t="s">
        <v>14</v>
      </c>
      <c r="K19" s="3"/>
    </row>
    <row r="20" spans="1:11" ht="15" thickBot="1" x14ac:dyDescent="0.35">
      <c r="A20" s="16">
        <f>G12</f>
        <v>0</v>
      </c>
      <c r="B20" s="17"/>
      <c r="C20" s="17"/>
      <c r="D20" s="18">
        <v>0.375</v>
      </c>
      <c r="E20" s="19"/>
      <c r="F20" s="16">
        <f>A20</f>
        <v>0</v>
      </c>
      <c r="G20" s="17"/>
      <c r="H20" s="18">
        <v>0.45833333333333331</v>
      </c>
      <c r="I20" s="19"/>
      <c r="J20" s="30"/>
      <c r="K20" s="31"/>
    </row>
    <row r="21" spans="1:11" ht="11.25" customHeight="1" x14ac:dyDescent="0.3">
      <c r="A21" s="32" t="s">
        <v>15</v>
      </c>
      <c r="B21" s="33"/>
      <c r="C21" s="33"/>
      <c r="D21" s="33"/>
      <c r="E21" s="33"/>
      <c r="F21" s="33"/>
      <c r="G21" s="33"/>
      <c r="H21" s="33"/>
      <c r="I21" s="33"/>
      <c r="J21" s="33"/>
      <c r="K21" s="34"/>
    </row>
    <row r="22" spans="1:11" ht="11.25" customHeight="1" thickBot="1" x14ac:dyDescent="0.3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7"/>
    </row>
    <row r="23" spans="1:11" s="41" customFormat="1" ht="14.1" customHeight="1" thickBot="1" x14ac:dyDescent="0.35">
      <c r="A23" s="38" t="s">
        <v>16</v>
      </c>
      <c r="B23" s="39"/>
      <c r="C23" s="39"/>
      <c r="D23" s="39"/>
      <c r="E23" s="39"/>
      <c r="F23" s="39"/>
      <c r="G23" s="39"/>
      <c r="H23" s="39"/>
      <c r="I23" s="39"/>
      <c r="J23" s="39"/>
      <c r="K23" s="40"/>
    </row>
    <row r="24" spans="1:11" ht="14.1" customHeight="1" thickBot="1" x14ac:dyDescent="0.35">
      <c r="A24" s="42" t="s">
        <v>17</v>
      </c>
      <c r="B24" s="43"/>
      <c r="C24" s="44"/>
      <c r="D24" s="42" t="s">
        <v>18</v>
      </c>
      <c r="E24" s="44"/>
      <c r="F24" s="45" t="s">
        <v>19</v>
      </c>
      <c r="G24" s="42" t="s">
        <v>20</v>
      </c>
      <c r="H24" s="44"/>
      <c r="I24" s="42" t="s">
        <v>21</v>
      </c>
      <c r="J24" s="43"/>
      <c r="K24" s="44"/>
    </row>
    <row r="25" spans="1:11" x14ac:dyDescent="0.3">
      <c r="A25" s="46" t="s">
        <v>22</v>
      </c>
      <c r="D25" s="47"/>
      <c r="E25" s="47"/>
      <c r="J25" s="48"/>
      <c r="K25" s="5"/>
    </row>
    <row r="26" spans="1:11" x14ac:dyDescent="0.3">
      <c r="A26" s="49" t="s">
        <v>23</v>
      </c>
      <c r="D26" s="50"/>
      <c r="E26" s="50"/>
      <c r="F26" s="51" t="str">
        <f>IF(D26&lt;7.8,"L",IF(D26&lt;=15.9,"",IF(D26&gt;15.9,"H")))</f>
        <v>L</v>
      </c>
      <c r="G26" s="52" t="s">
        <v>24</v>
      </c>
      <c r="H26" s="52"/>
      <c r="I26" s="52" t="s">
        <v>25</v>
      </c>
      <c r="J26" s="52"/>
      <c r="K26" s="53"/>
    </row>
    <row r="27" spans="1:11" x14ac:dyDescent="0.3">
      <c r="A27" s="49" t="s">
        <v>26</v>
      </c>
      <c r="D27" s="50"/>
      <c r="E27" s="50"/>
      <c r="F27" s="51" t="str">
        <f>IF(D27&lt;3.2,"L",IF(D27&lt;=4.8,"",IF(D27&gt;4.8,"H")))</f>
        <v>L</v>
      </c>
      <c r="G27" s="52" t="s">
        <v>27</v>
      </c>
      <c r="H27" s="52"/>
      <c r="I27" s="52" t="s">
        <v>28</v>
      </c>
      <c r="J27" s="52"/>
      <c r="K27" s="53"/>
    </row>
    <row r="28" spans="1:11" x14ac:dyDescent="0.3">
      <c r="A28" s="49" t="s">
        <v>29</v>
      </c>
      <c r="B28" s="54"/>
      <c r="D28" s="50"/>
      <c r="E28" s="50"/>
      <c r="F28" s="51" t="str">
        <f>IF(D28&lt;10,"L",IF(D28&lt;=15.3,"",IF(D28&gt;15.3,"H")))</f>
        <v>L</v>
      </c>
      <c r="G28" s="52" t="s">
        <v>30</v>
      </c>
      <c r="H28" s="52"/>
      <c r="I28" s="55" t="s">
        <v>31</v>
      </c>
      <c r="J28" s="55"/>
      <c r="K28" s="56"/>
    </row>
    <row r="29" spans="1:11" x14ac:dyDescent="0.3">
      <c r="A29" s="49" t="s">
        <v>32</v>
      </c>
      <c r="B29" s="54"/>
      <c r="D29" s="50"/>
      <c r="E29" s="50"/>
      <c r="F29" s="51" t="str">
        <f>IF(D29&lt;30,"L",IF(D29&lt;=45,"",IF(D29&gt;45,"H")))</f>
        <v>L</v>
      </c>
      <c r="G29" s="52" t="s">
        <v>33</v>
      </c>
      <c r="H29" s="52"/>
      <c r="I29" s="55" t="s">
        <v>34</v>
      </c>
      <c r="J29" s="55"/>
      <c r="K29" s="56"/>
    </row>
    <row r="30" spans="1:11" ht="13.35" customHeight="1" x14ac:dyDescent="0.3">
      <c r="A30" s="49" t="s">
        <v>35</v>
      </c>
      <c r="B30" s="54"/>
      <c r="D30" s="50"/>
      <c r="E30" s="50"/>
      <c r="F30" s="51" t="str">
        <f>IF(D30&lt;89,"L",IF(D30&lt;=103,"",IF(D30&gt;103,"H")))</f>
        <v>L</v>
      </c>
      <c r="G30" s="52" t="s">
        <v>36</v>
      </c>
      <c r="H30" s="52"/>
      <c r="I30" s="52" t="s">
        <v>37</v>
      </c>
      <c r="J30" s="52"/>
      <c r="K30" s="53"/>
    </row>
    <row r="31" spans="1:11" x14ac:dyDescent="0.3">
      <c r="A31" s="49" t="s">
        <v>38</v>
      </c>
      <c r="D31" s="50"/>
      <c r="E31" s="50"/>
      <c r="F31" s="51" t="str">
        <f>IF(D31&lt;30,"L",IF(D31&lt;=35,"",IF(D31&gt;35,"H")))</f>
        <v>L</v>
      </c>
      <c r="G31" s="52" t="s">
        <v>39</v>
      </c>
      <c r="H31" s="52"/>
      <c r="I31" s="52" t="s">
        <v>40</v>
      </c>
      <c r="J31" s="52"/>
      <c r="K31" s="53"/>
    </row>
    <row r="32" spans="1:11" x14ac:dyDescent="0.3">
      <c r="A32" s="49" t="s">
        <v>41</v>
      </c>
      <c r="D32" s="50"/>
      <c r="E32" s="50"/>
      <c r="F32" s="51" t="str">
        <f>IF(D32&lt;32.7,"L",IF(D32&lt;=35.1,"",IF(D32&gt;35.1,"H")))</f>
        <v>L</v>
      </c>
      <c r="G32" s="52" t="s">
        <v>33</v>
      </c>
      <c r="H32" s="52"/>
      <c r="I32" s="52" t="s">
        <v>42</v>
      </c>
      <c r="J32" s="52"/>
      <c r="K32" s="53"/>
    </row>
    <row r="33" spans="1:11" x14ac:dyDescent="0.3">
      <c r="A33" s="49" t="s">
        <v>43</v>
      </c>
      <c r="D33" s="50"/>
      <c r="E33" s="50"/>
      <c r="F33" s="51" t="str">
        <f>IF(D33&lt;0,"L",IF(D33&lt;16.8,"",IF(D33&gt;=16.8,"H")))</f>
        <v/>
      </c>
      <c r="G33" s="52" t="s">
        <v>33</v>
      </c>
      <c r="H33" s="52"/>
      <c r="I33" s="52" t="s">
        <v>44</v>
      </c>
      <c r="J33" s="52"/>
      <c r="K33" s="53"/>
    </row>
    <row r="34" spans="1:11" ht="5.55" customHeight="1" x14ac:dyDescent="0.3">
      <c r="A34" s="49"/>
      <c r="D34" s="57"/>
      <c r="E34" s="57"/>
      <c r="F34" s="51"/>
      <c r="G34" s="48"/>
      <c r="J34" s="48"/>
      <c r="K34" s="5"/>
    </row>
    <row r="35" spans="1:11" x14ac:dyDescent="0.3">
      <c r="A35" s="58" t="s">
        <v>45</v>
      </c>
      <c r="B35" s="54"/>
      <c r="D35" s="59"/>
      <c r="E35" s="59"/>
      <c r="F35" s="60"/>
      <c r="G35" s="61"/>
      <c r="J35" s="48"/>
      <c r="K35" s="5"/>
    </row>
    <row r="36" spans="1:11" x14ac:dyDescent="0.3">
      <c r="A36" s="49" t="s">
        <v>46</v>
      </c>
      <c r="B36" s="54"/>
      <c r="D36" s="50"/>
      <c r="E36" s="50"/>
      <c r="F36" s="51" t="str">
        <f>IF(D36&lt;248,"L",IF(D36&lt;=586,"",IF(D36&gt;586,"H")))</f>
        <v>L</v>
      </c>
      <c r="G36" s="52" t="s">
        <v>24</v>
      </c>
      <c r="H36" s="52"/>
      <c r="I36" s="62" t="s">
        <v>47</v>
      </c>
      <c r="J36" s="62"/>
      <c r="K36" s="63"/>
    </row>
    <row r="37" spans="1:11" x14ac:dyDescent="0.3">
      <c r="A37" s="64" t="s">
        <v>48</v>
      </c>
      <c r="D37" s="50"/>
      <c r="E37" s="50"/>
      <c r="F37" s="51" t="str">
        <f>IF(D37&lt;10,"L",IF(D37&lt;=12.2,"",IF(D37&gt;12.2,"H")))</f>
        <v>L</v>
      </c>
      <c r="G37" s="52" t="s">
        <v>36</v>
      </c>
      <c r="H37" s="52"/>
      <c r="I37" s="55" t="s">
        <v>49</v>
      </c>
      <c r="J37" s="55"/>
      <c r="K37" s="56"/>
    </row>
    <row r="38" spans="1:11" ht="5.55" customHeight="1" thickBot="1" x14ac:dyDescent="0.35">
      <c r="A38" s="4"/>
      <c r="K38" s="5"/>
    </row>
    <row r="39" spans="1:11" ht="14.1" customHeight="1" thickBot="1" x14ac:dyDescent="0.35">
      <c r="A39" s="65" t="s">
        <v>17</v>
      </c>
      <c r="B39" s="66"/>
      <c r="C39" s="67"/>
      <c r="D39" s="43" t="s">
        <v>18</v>
      </c>
      <c r="E39" s="43"/>
      <c r="F39" s="68" t="s">
        <v>19</v>
      </c>
      <c r="G39" s="69" t="s">
        <v>21</v>
      </c>
      <c r="H39" s="70" t="s">
        <v>18</v>
      </c>
      <c r="I39" s="71"/>
      <c r="J39" s="68" t="s">
        <v>19</v>
      </c>
      <c r="K39" s="69" t="s">
        <v>21</v>
      </c>
    </row>
    <row r="40" spans="1:11" ht="14.1" customHeight="1" thickBot="1" x14ac:dyDescent="0.35">
      <c r="A40" s="72"/>
      <c r="B40" s="73"/>
      <c r="C40" s="74"/>
      <c r="D40" s="75" t="s">
        <v>50</v>
      </c>
      <c r="E40" s="76"/>
      <c r="F40" s="77"/>
      <c r="G40" s="78"/>
      <c r="H40" s="75" t="s">
        <v>51</v>
      </c>
      <c r="I40" s="76"/>
      <c r="J40" s="77"/>
      <c r="K40" s="78"/>
    </row>
    <row r="41" spans="1:11" x14ac:dyDescent="0.3">
      <c r="A41" s="58" t="s">
        <v>52</v>
      </c>
      <c r="B41" s="54"/>
      <c r="D41" s="79"/>
      <c r="E41" s="79"/>
      <c r="F41" s="60"/>
      <c r="G41" s="61"/>
      <c r="J41" s="48"/>
      <c r="K41" s="5"/>
    </row>
    <row r="42" spans="1:11" ht="14.4" customHeight="1" x14ac:dyDescent="0.3">
      <c r="A42" s="49" t="s">
        <v>53</v>
      </c>
      <c r="B42" s="54"/>
      <c r="D42" s="80"/>
      <c r="E42" s="48" t="s">
        <v>33</v>
      </c>
      <c r="F42" s="51" t="str">
        <f>IF(D42&lt;40,"L",IF(D42&lt;=80,"",IF(D42&gt;=80,"H")))</f>
        <v>L</v>
      </c>
      <c r="G42" s="81" t="s">
        <v>54</v>
      </c>
      <c r="H42" s="80"/>
      <c r="I42" s="82" t="s">
        <v>24</v>
      </c>
      <c r="J42" s="51" t="str">
        <f>IF(H42&lt;1.2,"L",IF(H42&lt;=5.5,"",IF(H42&gt;5.5,"H")))</f>
        <v>L</v>
      </c>
      <c r="K42" s="83" t="s">
        <v>55</v>
      </c>
    </row>
    <row r="43" spans="1:11" ht="14.4" customHeight="1" x14ac:dyDescent="0.3">
      <c r="A43" s="49" t="s">
        <v>56</v>
      </c>
      <c r="B43" s="54"/>
      <c r="D43" s="80"/>
      <c r="E43" s="48" t="s">
        <v>33</v>
      </c>
      <c r="F43" s="51" t="str">
        <f>IF(D43&lt;10,"L",IF(D43&lt;=60,"",IF(D43&gt;60,"H")))</f>
        <v>L</v>
      </c>
      <c r="G43" s="81" t="s">
        <v>57</v>
      </c>
      <c r="H43" s="80"/>
      <c r="I43" s="82" t="s">
        <v>24</v>
      </c>
      <c r="J43" s="51" t="str">
        <f>IF(H43&lt;2.1,"L",IF(H43&lt;=8.4,"",IF(H43&gt;8.4,"H")))</f>
        <v>L</v>
      </c>
      <c r="K43" s="83" t="s">
        <v>58</v>
      </c>
    </row>
    <row r="44" spans="1:11" ht="14.4" customHeight="1" x14ac:dyDescent="0.3">
      <c r="A44" s="49" t="s">
        <v>59</v>
      </c>
      <c r="B44" s="54"/>
      <c r="D44" s="80"/>
      <c r="E44" s="48" t="s">
        <v>33</v>
      </c>
      <c r="F44" s="51" t="str">
        <f>IF(D44&lt;3,"L",IF(D44&lt;=13,"",IF(D44&gt;13,"H")))</f>
        <v>L</v>
      </c>
      <c r="G44" s="84" t="s">
        <v>60</v>
      </c>
      <c r="H44" s="80"/>
      <c r="I44" s="82" t="s">
        <v>24</v>
      </c>
      <c r="J44" s="51" t="str">
        <f>IF(H44&lt;0.3,"L",IF(H44&lt;=1.4,"",IF(H44&gt;1.4,"H")))</f>
        <v>L</v>
      </c>
      <c r="K44" s="83" t="s">
        <v>61</v>
      </c>
    </row>
    <row r="45" spans="1:11" ht="14.4" customHeight="1" x14ac:dyDescent="0.3">
      <c r="A45" s="49" t="s">
        <v>62</v>
      </c>
      <c r="B45" s="54"/>
      <c r="D45" s="80"/>
      <c r="E45" s="48" t="s">
        <v>33</v>
      </c>
      <c r="F45" s="51" t="str">
        <f>IF(D45&lt;0.5,"L",IF(D45&lt;=5,"",IF(D45&gt;5,"H")))</f>
        <v>L</v>
      </c>
      <c r="G45" s="48" t="s">
        <v>63</v>
      </c>
      <c r="H45" s="80"/>
      <c r="I45" s="82" t="s">
        <v>24</v>
      </c>
      <c r="J45" s="51" t="str">
        <f>IF(H45&lt;0,"L",IF(H45&lt;=0.8,"",IF(H45&gt;0.8,"H")))</f>
        <v/>
      </c>
      <c r="K45" s="83" t="s">
        <v>64</v>
      </c>
    </row>
    <row r="46" spans="1:11" ht="14.4" customHeight="1" x14ac:dyDescent="0.3">
      <c r="A46" s="49" t="s">
        <v>65</v>
      </c>
      <c r="B46" s="54"/>
      <c r="D46" s="80"/>
      <c r="E46" s="48" t="s">
        <v>33</v>
      </c>
      <c r="F46" s="85" t="str">
        <f>IF(D46&lt;0,"L",IF(D46&lt;=1,"",IF(D46&gt;1,"H")))</f>
        <v/>
      </c>
      <c r="G46" s="48" t="s">
        <v>66</v>
      </c>
      <c r="H46" s="80"/>
      <c r="I46" s="82" t="s">
        <v>24</v>
      </c>
      <c r="J46" s="51" t="str">
        <f>IF(H46&lt;0,"L",IF(H46&lt;=0.1,"",IF(H46&gt;0.1,"H")))</f>
        <v/>
      </c>
      <c r="K46" s="83" t="s">
        <v>67</v>
      </c>
    </row>
    <row r="47" spans="1:11" ht="14.4" customHeight="1" x14ac:dyDescent="0.3">
      <c r="A47" s="49" t="s">
        <v>68</v>
      </c>
      <c r="B47" s="54"/>
      <c r="D47" s="80"/>
      <c r="E47" s="48" t="s">
        <v>33</v>
      </c>
      <c r="F47" s="85" t="str">
        <f>IF(D47&lt;0,"L",IF(D47&lt;=1,"",IF(D47&gt;1,"H")))</f>
        <v/>
      </c>
      <c r="G47" s="48" t="s">
        <v>66</v>
      </c>
      <c r="H47" s="80"/>
      <c r="I47" s="82" t="s">
        <v>24</v>
      </c>
      <c r="J47" s="51" t="str">
        <f>IF(H47&lt;0,"L",IF(H47&lt;=0.2,"",IF(H47&gt;0.2,"H")))</f>
        <v/>
      </c>
      <c r="K47" s="83" t="s">
        <v>69</v>
      </c>
    </row>
    <row r="48" spans="1:11" s="41" customFormat="1" ht="11.25" customHeight="1" thickBot="1" x14ac:dyDescent="0.35">
      <c r="A48" s="86" t="s">
        <v>70</v>
      </c>
      <c r="B48" s="87"/>
      <c r="C48" s="87"/>
      <c r="D48" s="87"/>
      <c r="E48" s="87"/>
      <c r="F48" s="87"/>
      <c r="G48" s="87"/>
      <c r="H48" s="87"/>
      <c r="I48" s="87"/>
      <c r="J48" s="87"/>
      <c r="K48" s="88"/>
    </row>
    <row r="49" spans="1:11" x14ac:dyDescent="0.3">
      <c r="A49" s="89" t="s">
        <v>71</v>
      </c>
      <c r="B49" s="89"/>
      <c r="C49" s="90"/>
      <c r="D49" s="90"/>
      <c r="E49" s="90"/>
      <c r="F49" s="90"/>
      <c r="G49" s="90"/>
      <c r="H49" s="90"/>
      <c r="I49" s="90"/>
      <c r="J49" s="90"/>
      <c r="K49" s="90"/>
    </row>
    <row r="50" spans="1:11" ht="5.55" customHeight="1" x14ac:dyDescent="0.3"/>
    <row r="51" spans="1:11" x14ac:dyDescent="0.3">
      <c r="A51" s="91" t="s">
        <v>72</v>
      </c>
      <c r="E51" s="92" t="s">
        <v>73</v>
      </c>
      <c r="I51" s="92" t="s">
        <v>74</v>
      </c>
    </row>
    <row r="52" spans="1:11" x14ac:dyDescent="0.3">
      <c r="I52" s="93"/>
    </row>
    <row r="53" spans="1:11" x14ac:dyDescent="0.3">
      <c r="A53" s="94" t="s">
        <v>75</v>
      </c>
      <c r="B53" s="94"/>
      <c r="C53" s="94"/>
      <c r="D53" s="94"/>
      <c r="E53" s="94" t="s">
        <v>76</v>
      </c>
      <c r="F53" s="94"/>
      <c r="G53" s="94"/>
      <c r="H53" s="94"/>
      <c r="I53" s="95" t="s">
        <v>77</v>
      </c>
      <c r="J53" s="95"/>
      <c r="K53" s="95"/>
    </row>
    <row r="54" spans="1:11" x14ac:dyDescent="0.3">
      <c r="A54" s="96" t="s">
        <v>78</v>
      </c>
      <c r="B54" s="96"/>
      <c r="C54" s="96"/>
      <c r="D54" s="96"/>
      <c r="E54" s="97" t="s">
        <v>79</v>
      </c>
      <c r="F54" s="97"/>
      <c r="G54" s="97"/>
      <c r="H54" s="97"/>
      <c r="I54" s="97" t="s">
        <v>80</v>
      </c>
      <c r="J54" s="97"/>
      <c r="K54" s="97"/>
    </row>
    <row r="55" spans="1:11" x14ac:dyDescent="0.3">
      <c r="A55" s="97" t="str">
        <f>IF(A53=A62,"Lic. No. 0091946",IF(A53=A63,"Lic. No. 0068902",IF(A53=A64,"Lic. No. 0081395",IF(A53=A65,"Lic. No. 0054465",IF(A53=A66,"Lic. No. 0060939")))))</f>
        <v>Lic. No. 0068902</v>
      </c>
      <c r="B55" s="97"/>
      <c r="C55" s="97"/>
      <c r="D55" s="97"/>
      <c r="E55" s="97" t="s">
        <v>81</v>
      </c>
      <c r="F55" s="97"/>
      <c r="G55" s="97"/>
      <c r="H55" s="97"/>
      <c r="I55" s="97" t="s">
        <v>82</v>
      </c>
      <c r="J55" s="97"/>
      <c r="K55" s="97"/>
    </row>
    <row r="57" spans="1:11" x14ac:dyDescent="0.3">
      <c r="A57" s="98"/>
      <c r="B57" s="98"/>
      <c r="C57" s="98"/>
      <c r="D57" s="98"/>
    </row>
    <row r="58" spans="1:11" x14ac:dyDescent="0.3">
      <c r="C58" s="98"/>
      <c r="D58" s="98"/>
    </row>
    <row r="59" spans="1:11" ht="14.4" customHeight="1" x14ac:dyDescent="0.3">
      <c r="C59" s="98"/>
      <c r="D59" s="98"/>
    </row>
    <row r="62" spans="1:11" x14ac:dyDescent="0.3">
      <c r="A62" s="99" t="s">
        <v>83</v>
      </c>
      <c r="B62" s="99" t="s">
        <v>84</v>
      </c>
    </row>
    <row r="63" spans="1:11" x14ac:dyDescent="0.3">
      <c r="A63" s="100" t="s">
        <v>75</v>
      </c>
      <c r="B63" s="101" t="s">
        <v>85</v>
      </c>
    </row>
    <row r="64" spans="1:11" x14ac:dyDescent="0.3">
      <c r="A64" s="100" t="s">
        <v>86</v>
      </c>
      <c r="B64" s="101" t="s">
        <v>87</v>
      </c>
    </row>
    <row r="65" spans="1:2" x14ac:dyDescent="0.3">
      <c r="A65" t="s">
        <v>88</v>
      </c>
      <c r="B65" t="s">
        <v>89</v>
      </c>
    </row>
    <row r="66" spans="1:2" x14ac:dyDescent="0.3">
      <c r="A66" t="s">
        <v>90</v>
      </c>
      <c r="B66" t="s">
        <v>91</v>
      </c>
    </row>
    <row r="127" spans="3:9" x14ac:dyDescent="0.3">
      <c r="C127" s="102"/>
      <c r="D127" s="103"/>
      <c r="E127" s="104"/>
      <c r="H127" s="105"/>
      <c r="I127" s="106"/>
    </row>
    <row r="128" spans="3:9" x14ac:dyDescent="0.3">
      <c r="C128" s="102"/>
      <c r="D128" s="103"/>
      <c r="E128" s="104"/>
      <c r="H128" s="105"/>
      <c r="I128" s="106"/>
    </row>
    <row r="129" spans="3:9" x14ac:dyDescent="0.3">
      <c r="C129" s="102"/>
      <c r="D129" s="103"/>
      <c r="E129" s="104"/>
      <c r="H129" s="106"/>
    </row>
    <row r="130" spans="3:9" x14ac:dyDescent="0.3">
      <c r="C130" s="102"/>
      <c r="D130" s="103"/>
      <c r="E130" s="104"/>
      <c r="H130" s="105"/>
      <c r="I130" s="106"/>
    </row>
    <row r="131" spans="3:9" x14ac:dyDescent="0.3">
      <c r="C131" s="102"/>
      <c r="D131" s="107"/>
      <c r="E131" s="104"/>
      <c r="H131" s="108"/>
      <c r="I131" s="106"/>
    </row>
    <row r="132" spans="3:9" x14ac:dyDescent="0.3">
      <c r="C132" s="102"/>
      <c r="D132" s="107"/>
      <c r="E132" s="104"/>
      <c r="H132" s="108"/>
      <c r="I132" s="106"/>
    </row>
    <row r="133" spans="3:9" x14ac:dyDescent="0.3">
      <c r="C133" s="102"/>
      <c r="D133" s="107"/>
      <c r="E133" s="104"/>
      <c r="H133" s="108"/>
      <c r="I133" s="106"/>
    </row>
    <row r="134" spans="3:9" x14ac:dyDescent="0.3">
      <c r="C134" s="102"/>
      <c r="D134" s="107"/>
      <c r="E134" s="104"/>
      <c r="H134" s="108"/>
      <c r="I134" s="106"/>
    </row>
    <row r="135" spans="3:9" x14ac:dyDescent="0.3">
      <c r="C135" s="102"/>
      <c r="D135" s="107"/>
      <c r="E135" s="104"/>
      <c r="H135" s="108"/>
      <c r="I135" s="106"/>
    </row>
  </sheetData>
  <mergeCells count="86">
    <mergeCell ref="A55:D55"/>
    <mergeCell ref="E55:H55"/>
    <mergeCell ref="I55:K55"/>
    <mergeCell ref="A53:D53"/>
    <mergeCell ref="E53:H53"/>
    <mergeCell ref="I53:K53"/>
    <mergeCell ref="A54:D54"/>
    <mergeCell ref="E54:H54"/>
    <mergeCell ref="I54:K54"/>
    <mergeCell ref="K39:K40"/>
    <mergeCell ref="D40:E40"/>
    <mergeCell ref="H40:I40"/>
    <mergeCell ref="A48:K48"/>
    <mergeCell ref="A49:B49"/>
    <mergeCell ref="C49:K49"/>
    <mergeCell ref="A39:C40"/>
    <mergeCell ref="D39:E39"/>
    <mergeCell ref="F39:F40"/>
    <mergeCell ref="G39:G40"/>
    <mergeCell ref="H39:I39"/>
    <mergeCell ref="J39:J40"/>
    <mergeCell ref="D35:E35"/>
    <mergeCell ref="D36:E36"/>
    <mergeCell ref="G36:H36"/>
    <mergeCell ref="I36:K36"/>
    <mergeCell ref="D37:E37"/>
    <mergeCell ref="G37:H37"/>
    <mergeCell ref="I37:K37"/>
    <mergeCell ref="D32:E32"/>
    <mergeCell ref="G32:H32"/>
    <mergeCell ref="I32:K32"/>
    <mergeCell ref="D33:E33"/>
    <mergeCell ref="G33:H33"/>
    <mergeCell ref="I33:K33"/>
    <mergeCell ref="D30:E30"/>
    <mergeCell ref="G30:H30"/>
    <mergeCell ref="I30:K30"/>
    <mergeCell ref="D31:E31"/>
    <mergeCell ref="G31:H31"/>
    <mergeCell ref="I31:K31"/>
    <mergeCell ref="D28:E28"/>
    <mergeCell ref="G28:H28"/>
    <mergeCell ref="I28:K28"/>
    <mergeCell ref="D29:E29"/>
    <mergeCell ref="G29:H29"/>
    <mergeCell ref="I29:K29"/>
    <mergeCell ref="D26:E26"/>
    <mergeCell ref="G26:H26"/>
    <mergeCell ref="I26:K26"/>
    <mergeCell ref="D27:E27"/>
    <mergeCell ref="G27:H27"/>
    <mergeCell ref="I27:K27"/>
    <mergeCell ref="A23:K23"/>
    <mergeCell ref="A24:C24"/>
    <mergeCell ref="D24:E24"/>
    <mergeCell ref="G24:H24"/>
    <mergeCell ref="I24:K24"/>
    <mergeCell ref="D25:E25"/>
    <mergeCell ref="A20:C20"/>
    <mergeCell ref="D20:E20"/>
    <mergeCell ref="F20:G20"/>
    <mergeCell ref="H20:I20"/>
    <mergeCell ref="J20:K20"/>
    <mergeCell ref="A21:K22"/>
    <mergeCell ref="A17:C17"/>
    <mergeCell ref="D17:E17"/>
    <mergeCell ref="F17:G17"/>
    <mergeCell ref="H17:K17"/>
    <mergeCell ref="A18:C18"/>
    <mergeCell ref="D18:E18"/>
    <mergeCell ref="F18:G18"/>
    <mergeCell ref="H18:K18"/>
    <mergeCell ref="A14:C14"/>
    <mergeCell ref="E14:G14"/>
    <mergeCell ref="I14:K14"/>
    <mergeCell ref="A15:C15"/>
    <mergeCell ref="E15:G15"/>
    <mergeCell ref="I15:K15"/>
    <mergeCell ref="A9:K9"/>
    <mergeCell ref="A11:C11"/>
    <mergeCell ref="D11:F11"/>
    <mergeCell ref="G11:K11"/>
    <mergeCell ref="A12:C12"/>
    <mergeCell ref="D12:F12"/>
    <mergeCell ref="G12:I12"/>
    <mergeCell ref="J12:K12"/>
  </mergeCells>
  <conditionalFormatting sqref="F25:F37 F41:F47">
    <cfRule type="containsText" dxfId="3" priority="3" operator="containsText" text="H">
      <formula>NOT(ISERROR(SEARCH("H",F25)))</formula>
    </cfRule>
    <cfRule type="containsText" dxfId="2" priority="4" operator="containsText" text="L">
      <formula>NOT(ISERROR(SEARCH("L",F25)))</formula>
    </cfRule>
  </conditionalFormatting>
  <conditionalFormatting sqref="J42:J47">
    <cfRule type="containsText" dxfId="1" priority="1" operator="containsText" text="H">
      <formula>NOT(ISERROR(SEARCH("H",J42)))</formula>
    </cfRule>
    <cfRule type="containsText" dxfId="0" priority="2" operator="containsText" text="L">
      <formula>NOT(ISERROR(SEARCH("L",J42)))</formula>
    </cfRule>
  </conditionalFormatting>
  <dataValidations count="1">
    <dataValidation type="list" allowBlank="1" showInputMessage="1" showErrorMessage="1" sqref="A53:D53" xr:uid="{0CEDB159-8BCE-496E-85A1-776534F3FEF9}">
      <formula1>$A$62:$A$66</formula1>
    </dataValidation>
  </dataValidations>
  <pageMargins left="0.25" right="0.25" top="0.75" bottom="0.75" header="0.3" footer="0.3"/>
  <pageSetup paperSize="9" orientation="portrait" horizontalDpi="360" verticalDpi="360" r:id="rId1"/>
  <headerFooter>
    <oddFooter>&amp;RDOH-CHD7-CL-Form-10 Rev. 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CBC MF (1w-1m)</vt:lpstr>
      <vt:lpstr>'CBC MF (1w-1m)'!Print_Area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Aguilar</dc:creator>
  <cp:lastModifiedBy>Sean Aguilar</cp:lastModifiedBy>
  <dcterms:created xsi:type="dcterms:W3CDTF">2026-02-01T09:42:41Z</dcterms:created>
  <dcterms:modified xsi:type="dcterms:W3CDTF">2026-02-01T09:42:46Z</dcterms:modified>
</cp:coreProperties>
</file>