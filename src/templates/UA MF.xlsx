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FEE6403F-BC37-4AC7-B3BA-6BCEA8D68803}" xr6:coauthVersionLast="47" xr6:coauthVersionMax="47" xr10:uidLastSave="{00000000-0000-0000-0000-000000000000}"/>
  <bookViews>
    <workbookView xWindow="-108" yWindow="-108" windowWidth="23256" windowHeight="12456" xr2:uid="{58C5E238-3DC8-4979-A47B-CFD37A108A16}"/>
  </bookViews>
  <sheets>
    <sheet name="UA MF" sheetId="1" r:id="rId1"/>
  </sheets>
  <definedNames>
    <definedName name="_xlnm.Print_Area" localSheetId="0">'UA MF'!$A$1:$K$58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1" l="1"/>
  <c r="A20" i="1"/>
  <c r="F20" i="1" s="1"/>
  <c r="D18" i="1"/>
</calcChain>
</file>

<file path=xl/sharedStrings.xml><?xml version="1.0" encoding="utf-8"?>
<sst xmlns="http://schemas.openxmlformats.org/spreadsheetml/2006/main" count="281" uniqueCount="213">
  <si>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</si>
  <si>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</si>
  <si>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</si>
  <si>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</si>
  <si>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</si>
  <si>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</si>
  <si>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</si>
  <si>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</si>
  <si>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</si>
  <si>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</si>
  <si>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</si>
  <si>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</si>
  <si>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0"/>
        <color theme="1"/>
        <rFont val="Times New Roman"/>
        <family val="1"/>
      </rPr>
      <t xml:space="preserve"> dd/mmm/yyyy hh:mm</t>
    </r>
  </si>
  <si>
    <r>
      <t>Date &amp; Time Released:</t>
    </r>
    <r>
      <rPr>
        <i/>
        <sz val="10"/>
        <color theme="1"/>
        <rFont val="Times New Roman"/>
        <family val="1"/>
      </rPr>
      <t xml:space="preserve"> dd/mmm/yyyy hh:mm</t>
    </r>
  </si>
  <si>
    <t>Location:</t>
  </si>
  <si>
    <t>CLINICAL MICROSCOPY</t>
  </si>
  <si>
    <t>URINALYSIS</t>
  </si>
  <si>
    <t>TEST PARAMETER</t>
  </si>
  <si>
    <t>ID</t>
  </si>
  <si>
    <t>RESULT</t>
  </si>
  <si>
    <t>UNIT</t>
  </si>
  <si>
    <t>REFERENCE RANGE</t>
  </si>
  <si>
    <t>PHYSICAL EXAMINATION</t>
  </si>
  <si>
    <t>Color</t>
  </si>
  <si>
    <t>YELLOW</t>
  </si>
  <si>
    <t>*</t>
  </si>
  <si>
    <t>Clarity</t>
  </si>
  <si>
    <t>CLEAR</t>
  </si>
  <si>
    <t>CHEMICAL EXAMINATION</t>
  </si>
  <si>
    <t>Leukocytes</t>
  </si>
  <si>
    <t>NEGATIVE</t>
  </si>
  <si>
    <t>WBC/Ul</t>
  </si>
  <si>
    <t>Nitrite</t>
  </si>
  <si>
    <t>mg/dL</t>
  </si>
  <si>
    <t>Urobilinogen</t>
  </si>
  <si>
    <t>0.1 (NORMAL)</t>
  </si>
  <si>
    <t>Up to 2.0</t>
  </si>
  <si>
    <t>Protein</t>
  </si>
  <si>
    <t>pH</t>
  </si>
  <si>
    <t>6.0</t>
  </si>
  <si>
    <t>4.6 - 8.0</t>
  </si>
  <si>
    <t>Blood</t>
  </si>
  <si>
    <t>RBC/uL</t>
  </si>
  <si>
    <t>Specific Gravity</t>
  </si>
  <si>
    <t>1.010</t>
  </si>
  <si>
    <t>1.005 - 1.030</t>
  </si>
  <si>
    <t>Ketones</t>
  </si>
  <si>
    <t>Bilirubin</t>
  </si>
  <si>
    <t>Glucose</t>
  </si>
  <si>
    <t>MICROSCOPIC EXAMINATION</t>
  </si>
  <si>
    <t>White Blood Cells (WBC)</t>
  </si>
  <si>
    <t>0 - 2</t>
  </si>
  <si>
    <t>/ HPF</t>
  </si>
  <si>
    <t>Red Blood Cells (RBC)</t>
  </si>
  <si>
    <t>Epithelial Cells</t>
  </si>
  <si>
    <t>RARE</t>
  </si>
  <si>
    <t>/ LPF</t>
  </si>
  <si>
    <t>NONE TO FEW</t>
  </si>
  <si>
    <t>Mucus Threads</t>
  </si>
  <si>
    <t>FEW</t>
  </si>
  <si>
    <t>Cast</t>
  </si>
  <si>
    <t>NONE</t>
  </si>
  <si>
    <t>Bacteria</t>
  </si>
  <si>
    <t>Yeast</t>
  </si>
  <si>
    <t>Parasite</t>
  </si>
  <si>
    <t>Crystal</t>
  </si>
  <si>
    <t>Others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</si>
  <si>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</si>
  <si>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</si>
  <si>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</si>
  <si>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</si>
  <si>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</si>
  <si>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</si>
  <si>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</si>
  <si>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</si>
  <si>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</si>
  <si>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</si>
  <si>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</si>
  <si>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</si>
  <si>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</si>
  <si>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</si>
  <si>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</si>
  <si>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</si>
  <si>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</si>
  <si>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</si>
  <si>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</si>
  <si>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</si>
  <si>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</si>
  <si>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</si>
  <si>
    <t>URINE COLOR</t>
  </si>
  <si>
    <t>CLARITY</t>
  </si>
  <si>
    <t>LEUKOCYTES</t>
  </si>
  <si>
    <t>NITRITE</t>
  </si>
  <si>
    <t>UROBILINOGEN</t>
  </si>
  <si>
    <t>PROTEIN</t>
  </si>
  <si>
    <t>BLOOD</t>
  </si>
  <si>
    <t>SPECIFIC GRAVITY</t>
  </si>
  <si>
    <t>KETONES</t>
  </si>
  <si>
    <t>BILIRUBIN</t>
  </si>
  <si>
    <t>COLORLESS</t>
  </si>
  <si>
    <t>LIGHT YELLOW</t>
  </si>
  <si>
    <t>SLIGHTLY CLOUDY</t>
  </si>
  <si>
    <t>25 (+)</t>
  </si>
  <si>
    <t>TRACE (+/-)</t>
  </si>
  <si>
    <t>1.0 (NORMAL)</t>
  </si>
  <si>
    <t>10 (+/-)</t>
  </si>
  <si>
    <t>10 (+)</t>
  </si>
  <si>
    <t>5 (+/-)</t>
  </si>
  <si>
    <t>0.5 (+)</t>
  </si>
  <si>
    <t>CLOUDY</t>
  </si>
  <si>
    <t>75 (++)</t>
  </si>
  <si>
    <t>&gt;0.5 (+)</t>
  </si>
  <si>
    <t>4.0 (++)</t>
  </si>
  <si>
    <t>30 (+)</t>
  </si>
  <si>
    <t>50 (++)</t>
  </si>
  <si>
    <t>1.0 (++)</t>
  </si>
  <si>
    <t>DARK YELLOW</t>
  </si>
  <si>
    <t>TURBID</t>
  </si>
  <si>
    <t>500 (+++)</t>
  </si>
  <si>
    <t>8.0 (+++)</t>
  </si>
  <si>
    <t>100 (++)</t>
  </si>
  <si>
    <t>250 (+++)</t>
  </si>
  <si>
    <t>3.0 (+++)</t>
  </si>
  <si>
    <t>YELLOW-ORANGE</t>
  </si>
  <si>
    <t>MILKY</t>
  </si>
  <si>
    <t>12.0 (++++)</t>
  </si>
  <si>
    <t>300 (+++)</t>
  </si>
  <si>
    <t>100 (+++)</t>
  </si>
  <si>
    <t>YELLOW-GREEN</t>
  </si>
  <si>
    <t>1000 (++++)</t>
  </si>
  <si>
    <t>(NON-HEMOLYSED)</t>
  </si>
  <si>
    <t>YELLOW-BROWN</t>
  </si>
  <si>
    <t>(HEMOLYSED)</t>
  </si>
  <si>
    <t>ORANGE-BROWN</t>
  </si>
  <si>
    <t>LIGHT RED</t>
  </si>
  <si>
    <t>RED</t>
  </si>
  <si>
    <t>DARK RED</t>
  </si>
  <si>
    <t>GLUCOSE</t>
  </si>
  <si>
    <t>RESULT (EST.)</t>
  </si>
  <si>
    <t>RBC</t>
  </si>
  <si>
    <t>EPITHELIAL CELLS</t>
  </si>
  <si>
    <t>CAST</t>
  </si>
  <si>
    <t>YEAST</t>
  </si>
  <si>
    <t>PARASITE</t>
  </si>
  <si>
    <t>CRYSTAL</t>
  </si>
  <si>
    <t>OTHERS</t>
  </si>
  <si>
    <t>RED-ORANGE</t>
  </si>
  <si>
    <t>ISOTONIC</t>
  </si>
  <si>
    <t>RED-PURPLE</t>
  </si>
  <si>
    <t>100 (+/-)</t>
  </si>
  <si>
    <t>HYPOTONIC</t>
  </si>
  <si>
    <t>SQUAMOUS</t>
  </si>
  <si>
    <t>HYALINE</t>
  </si>
  <si>
    <t>BUDDING</t>
  </si>
  <si>
    <t>T. vaginalis (troph.)</t>
  </si>
  <si>
    <t>URIC ACID</t>
  </si>
  <si>
    <t>FAT GLOBULES</t>
  </si>
  <si>
    <t>RED-BROWN</t>
  </si>
  <si>
    <t>250 (+)</t>
  </si>
  <si>
    <t>CRENATED</t>
  </si>
  <si>
    <t>TRANSITIONAL</t>
  </si>
  <si>
    <t>HYPHENATED</t>
  </si>
  <si>
    <t>S. haematobium (ova)</t>
  </si>
  <si>
    <t>AMORPHOUS URATES</t>
  </si>
  <si>
    <t>TUMOR CELLS</t>
  </si>
  <si>
    <t>DARK BROWN</t>
  </si>
  <si>
    <t>500 (++)</t>
  </si>
  <si>
    <t>MODERATE</t>
  </si>
  <si>
    <t>MICROCYTIC</t>
  </si>
  <si>
    <t>RENAL TUBULAR</t>
  </si>
  <si>
    <t>WBC</t>
  </si>
  <si>
    <t>E. histolytica</t>
  </si>
  <si>
    <t>CALCIUM OXALATE</t>
  </si>
  <si>
    <t>VIRAL INCLUSION CELLS</t>
  </si>
  <si>
    <t>BROWN-BLACK</t>
  </si>
  <si>
    <t>1000 (+++)</t>
  </si>
  <si>
    <t>MANY</t>
  </si>
  <si>
    <t>DYSMORPHIC</t>
  </si>
  <si>
    <t>OVAL FAT BODY</t>
  </si>
  <si>
    <t>BACTERIAL</t>
  </si>
  <si>
    <t>AMORPHOUS PHOSPHATES</t>
  </si>
  <si>
    <t>PLATELETS</t>
  </si>
  <si>
    <t>BLACK</t>
  </si>
  <si>
    <t>2000 (++++)</t>
  </si>
  <si>
    <t>ABUNDANT</t>
  </si>
  <si>
    <t>EPITHELIAL CELL</t>
  </si>
  <si>
    <t>CALCIUM PHOSPHATE</t>
  </si>
  <si>
    <t>BLUE-GREEN</t>
  </si>
  <si>
    <t>FATTY</t>
  </si>
  <si>
    <t>TRIPLE PHOSPHATE</t>
  </si>
  <si>
    <t>GREEN-BROWN</t>
  </si>
  <si>
    <t>MIXED CELLULAR</t>
  </si>
  <si>
    <t>AMMONIUM BIURATE</t>
  </si>
  <si>
    <t>MONOSODIUM URATE</t>
  </si>
  <si>
    <t>GRANULAR</t>
  </si>
  <si>
    <t>CALCIUM CARBONATE</t>
  </si>
  <si>
    <t>WAXY</t>
  </si>
  <si>
    <t>CYSTINE</t>
  </si>
  <si>
    <t>BROAD</t>
  </si>
  <si>
    <t>CHOLESTEROL</t>
  </si>
  <si>
    <t>LEUCINE</t>
  </si>
  <si>
    <t>TYROSINE</t>
  </si>
  <si>
    <t>ACETYLSULFADIAZINE</t>
  </si>
  <si>
    <t>ACETYLSULFAMETHOXAZOLE</t>
  </si>
  <si>
    <t>SULFADIAZINE</t>
  </si>
  <si>
    <t>RADIOGRAPHIC DYE</t>
  </si>
  <si>
    <t>AMPICILLIN</t>
  </si>
  <si>
    <t>HEMATIN</t>
  </si>
  <si>
    <t>HEMOSIDERIN</t>
  </si>
  <si>
    <t>HIPPURIC ACID</t>
  </si>
  <si>
    <t>INDIGOTIN</t>
  </si>
  <si>
    <t>CALCIUM HYDROGEN PHOSPHATE</t>
  </si>
  <si>
    <t>XANTHINE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</si>
</sst>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0.0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8" fontId="2" fillId="0" borderId="7" xfId="0" applyNumberFormat="1" applyFont="1" applyBorder="1" applyAlignment="1">
      <alignment horizontal="center"/>
    </xf>
    <xf numFmtId="18" fontId="2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/>
    <xf numFmtId="0" fontId="8" fillId="0" borderId="14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164" fontId="2" fillId="0" borderId="8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9" fillId="0" borderId="1" xfId="0" applyFont="1" applyBorder="1"/>
    <xf numFmtId="0" fontId="2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5" xfId="0" applyNumberFormat="1" applyBorder="1" applyAlignment="1">
      <alignment horizontal="center"/>
    </xf>
    <xf numFmtId="0" fontId="12" fillId="0" borderId="4" xfId="0" applyFont="1" applyBorder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5" fontId="0" fillId="0" borderId="0" xfId="0" applyNumberFormat="1"/>
    <xf numFmtId="18" fontId="0" fillId="0" borderId="0" xfId="0" applyNumberFormat="1"/>
    <xf numFmtId="0" fontId="20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2CC44A40-0718-4C11-AB1B-17B4C70A2F7A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3108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CE8BE289-97EE-4FDA-9D04-264DFC84686E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310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612738</xdr:colOff>
      <xdr:row>51</xdr:row>
      <xdr:rowOff>55581</xdr:rowOff>
    </xdr:from>
    <xdr:to>
      <xdr:col>11</xdr:col>
      <xdr:colOff>125058</xdr:colOff>
      <xdr:row>57</xdr:row>
      <xdr:rowOff>59986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508E70-0BFF-4EA8-B06B-C0AEAA2BE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grayscl/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artisticMarker/>
                  </a14:imgEffect>
                  <a14:imgEffect>
                    <a14:sharpenSoften amount="25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46638" y="8490921"/>
          <a:ext cx="2301240" cy="92642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0</xdr:row>
      <xdr:rowOff>160020</xdr:rowOff>
    </xdr:from>
    <xdr:to>
      <xdr:col>10</xdr:col>
      <xdr:colOff>467542</xdr:colOff>
      <xdr:row>5</xdr:row>
      <xdr:rowOff>160020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5BADE4-B952-4BF3-BB06-19D18CFE2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1700" y="16002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1</xdr:row>
      <xdr:rowOff>0</xdr:rowOff>
    </xdr:from>
    <xdr:to>
      <xdr:col>1</xdr:col>
      <xdr:colOff>472020</xdr:colOff>
      <xdr:row>6</xdr:row>
      <xdr:rowOff>7200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DF5486-2B22-45A2-9BE9-019A16557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8288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ECCB-DE09-405A-BF57-2AC7ADF79D82}">
  <dimension ref="A1:K140"/>
  <sheetViews>
    <sheetView tabSelected="1" view="pageLayout" topLeftCell="A49" zoomScaleNormal="100" workbookViewId="0">
      <selection activeCell="A56" sqref="A56:D56"/>
    </sheetView>
  </sheetViews>
  <sheetFormatPr defaultColWidth="9.44140625" defaultRowHeight="14.4" x14ac:dyDescent="0.3"/>
  <cols>
    <col min="1" max="10" width="9" customWidth="1"/>
    <col min="11" max="11" width="11.777343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2.7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4.1" customHeight="1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18.3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ht="12.75" customHeight="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ht="12.75" customHeight="1" x14ac:dyDescent="0.3">
      <c r="A17" s="27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4.1" customHeight="1" thickBot="1" x14ac:dyDescent="0.35">
      <c r="A18" s="16"/>
      <c r="B18" s="17"/>
      <c r="C18" s="28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2.75" customHeight="1" x14ac:dyDescent="0.3">
      <c r="A19" s="29" t="s">
        <v>12</v>
      </c>
      <c r="B19" s="2"/>
      <c r="C19" s="2"/>
      <c r="D19" s="2"/>
      <c r="E19" s="3"/>
      <c r="F19" s="30" t="s">
        <v>13</v>
      </c>
      <c r="J19" s="31" t="s">
        <v>14</v>
      </c>
      <c r="K19" s="3"/>
    </row>
    <row r="20" spans="1:11" ht="14.1" customHeight="1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2"/>
      <c r="K20" s="33"/>
    </row>
    <row r="21" spans="1:11" ht="11.25" customHeight="1" x14ac:dyDescent="0.3">
      <c r="A21" s="34" t="s">
        <v>15</v>
      </c>
      <c r="B21" s="35"/>
      <c r="C21" s="35"/>
      <c r="D21" s="35"/>
      <c r="E21" s="35"/>
      <c r="F21" s="35"/>
      <c r="G21" s="35"/>
      <c r="H21" s="35"/>
      <c r="I21" s="35"/>
      <c r="J21" s="35"/>
      <c r="K21" s="36"/>
    </row>
    <row r="22" spans="1:11" ht="11.25" customHeight="1" thickBot="1" x14ac:dyDescent="0.35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9"/>
    </row>
    <row r="23" spans="1:11" s="43" customFormat="1" ht="14.1" customHeight="1" thickBot="1" x14ac:dyDescent="0.35">
      <c r="A23" s="40" t="s">
        <v>16</v>
      </c>
      <c r="B23" s="41"/>
      <c r="C23" s="41"/>
      <c r="D23" s="41"/>
      <c r="E23" s="41"/>
      <c r="F23" s="41"/>
      <c r="G23" s="41"/>
      <c r="H23" s="41"/>
      <c r="I23" s="41"/>
      <c r="J23" s="41"/>
      <c r="K23" s="42"/>
    </row>
    <row r="24" spans="1:11" s="43" customFormat="1" ht="12.75" customHeight="1" thickBot="1" x14ac:dyDescent="0.35">
      <c r="A24" s="44" t="s">
        <v>17</v>
      </c>
      <c r="B24" s="45"/>
      <c r="C24" s="46"/>
      <c r="D24" s="45" t="s">
        <v>18</v>
      </c>
      <c r="E24" s="46"/>
      <c r="F24" s="45" t="s">
        <v>19</v>
      </c>
      <c r="G24" s="46"/>
      <c r="H24" s="44" t="s">
        <v>20</v>
      </c>
      <c r="I24" s="46"/>
      <c r="J24" s="45" t="s">
        <v>21</v>
      </c>
      <c r="K24" s="46"/>
    </row>
    <row r="25" spans="1:11" ht="12.75" customHeight="1" x14ac:dyDescent="0.3">
      <c r="A25" s="47" t="s">
        <v>22</v>
      </c>
      <c r="B25" s="48"/>
      <c r="C25" s="48"/>
      <c r="D25" s="2"/>
      <c r="E25" s="2"/>
      <c r="F25" s="2"/>
      <c r="J25" s="49"/>
      <c r="K25" s="5"/>
    </row>
    <row r="26" spans="1:11" ht="14.1" customHeight="1" x14ac:dyDescent="0.3">
      <c r="A26" s="50"/>
      <c r="B26" s="51" t="s">
        <v>23</v>
      </c>
      <c r="D26" s="52"/>
      <c r="F26" s="53" t="s">
        <v>24</v>
      </c>
      <c r="G26" s="53"/>
      <c r="H26" s="54" t="s">
        <v>25</v>
      </c>
      <c r="I26" s="54"/>
      <c r="J26" s="54" t="s">
        <v>25</v>
      </c>
      <c r="K26" s="55"/>
    </row>
    <row r="27" spans="1:11" ht="14.1" customHeight="1" x14ac:dyDescent="0.3">
      <c r="A27" s="50"/>
      <c r="B27" s="51" t="s">
        <v>26</v>
      </c>
      <c r="D27" s="52"/>
      <c r="F27" s="53" t="s">
        <v>27</v>
      </c>
      <c r="G27" s="53"/>
      <c r="H27" s="54" t="s">
        <v>25</v>
      </c>
      <c r="I27" s="54"/>
      <c r="J27" s="54" t="s">
        <v>25</v>
      </c>
      <c r="K27" s="55"/>
    </row>
    <row r="28" spans="1:11" ht="12.75" customHeight="1" x14ac:dyDescent="0.3">
      <c r="A28" s="56" t="s">
        <v>28</v>
      </c>
      <c r="B28" s="57"/>
      <c r="C28" s="57"/>
      <c r="D28" s="52"/>
      <c r="E28" s="58"/>
      <c r="F28" s="58"/>
      <c r="G28" s="59"/>
      <c r="H28" s="59"/>
      <c r="I28" s="59"/>
      <c r="J28" s="59"/>
      <c r="K28" s="60"/>
    </row>
    <row r="29" spans="1:11" ht="14.1" customHeight="1" x14ac:dyDescent="0.3">
      <c r="A29" s="50"/>
      <c r="B29" s="51" t="s">
        <v>29</v>
      </c>
      <c r="D29" s="52"/>
      <c r="F29" s="53" t="s">
        <v>30</v>
      </c>
      <c r="G29" s="53"/>
      <c r="H29" s="54" t="s">
        <v>31</v>
      </c>
      <c r="I29" s="54"/>
      <c r="J29" s="54" t="s">
        <v>30</v>
      </c>
      <c r="K29" s="55"/>
    </row>
    <row r="30" spans="1:11" ht="14.1" customHeight="1" x14ac:dyDescent="0.3">
      <c r="A30" s="50"/>
      <c r="B30" s="51" t="s">
        <v>32</v>
      </c>
      <c r="D30" s="52"/>
      <c r="F30" s="53" t="s">
        <v>30</v>
      </c>
      <c r="G30" s="53"/>
      <c r="H30" s="54" t="s">
        <v>33</v>
      </c>
      <c r="I30" s="54"/>
      <c r="J30" s="54" t="s">
        <v>30</v>
      </c>
      <c r="K30" s="55"/>
    </row>
    <row r="31" spans="1:11" ht="14.1" customHeight="1" x14ac:dyDescent="0.3">
      <c r="A31" s="61"/>
      <c r="B31" s="51" t="s">
        <v>34</v>
      </c>
      <c r="D31" s="52"/>
      <c r="F31" s="53" t="s">
        <v>35</v>
      </c>
      <c r="G31" s="53"/>
      <c r="H31" s="54" t="s">
        <v>33</v>
      </c>
      <c r="I31" s="54"/>
      <c r="J31" s="54" t="s">
        <v>36</v>
      </c>
      <c r="K31" s="55"/>
    </row>
    <row r="32" spans="1:11" ht="14.1" customHeight="1" x14ac:dyDescent="0.3">
      <c r="A32" s="50"/>
      <c r="B32" s="51" t="s">
        <v>37</v>
      </c>
      <c r="D32" s="52"/>
      <c r="F32" s="53" t="s">
        <v>30</v>
      </c>
      <c r="G32" s="53"/>
      <c r="H32" s="54" t="s">
        <v>33</v>
      </c>
      <c r="I32" s="54"/>
      <c r="J32" s="54" t="s">
        <v>30</v>
      </c>
      <c r="K32" s="55"/>
    </row>
    <row r="33" spans="1:11" ht="14.1" customHeight="1" x14ac:dyDescent="0.3">
      <c r="A33" s="50"/>
      <c r="B33" s="51" t="s">
        <v>38</v>
      </c>
      <c r="D33" s="52"/>
      <c r="F33" s="62" t="s">
        <v>39</v>
      </c>
      <c r="G33" s="62"/>
      <c r="H33" s="54" t="s">
        <v>25</v>
      </c>
      <c r="I33" s="54"/>
      <c r="J33" s="54" t="s">
        <v>40</v>
      </c>
      <c r="K33" s="55"/>
    </row>
    <row r="34" spans="1:11" ht="14.1" customHeight="1" x14ac:dyDescent="0.3">
      <c r="A34" s="50"/>
      <c r="B34" s="51" t="s">
        <v>41</v>
      </c>
      <c r="D34" s="63"/>
      <c r="E34" s="63"/>
      <c r="F34" s="53" t="s">
        <v>30</v>
      </c>
      <c r="G34" s="53"/>
      <c r="H34" s="54" t="s">
        <v>42</v>
      </c>
      <c r="I34" s="54"/>
      <c r="J34" s="54" t="s">
        <v>30</v>
      </c>
      <c r="K34" s="55"/>
    </row>
    <row r="35" spans="1:11" ht="14.1" customHeight="1" x14ac:dyDescent="0.3">
      <c r="A35" s="50"/>
      <c r="B35" s="51" t="s">
        <v>43</v>
      </c>
      <c r="D35" s="52"/>
      <c r="F35" s="64" t="s">
        <v>44</v>
      </c>
      <c r="G35" s="64"/>
      <c r="H35" s="54" t="s">
        <v>25</v>
      </c>
      <c r="I35" s="54"/>
      <c r="J35" s="54" t="s">
        <v>45</v>
      </c>
      <c r="K35" s="55"/>
    </row>
    <row r="36" spans="1:11" ht="14.1" customHeight="1" x14ac:dyDescent="0.3">
      <c r="A36" s="65"/>
      <c r="B36" s="51" t="s">
        <v>46</v>
      </c>
      <c r="D36" s="52"/>
      <c r="F36" s="53" t="s">
        <v>30</v>
      </c>
      <c r="G36" s="53"/>
      <c r="H36" s="54" t="s">
        <v>33</v>
      </c>
      <c r="I36" s="54"/>
      <c r="J36" s="54" t="s">
        <v>30</v>
      </c>
      <c r="K36" s="55"/>
    </row>
    <row r="37" spans="1:11" ht="14.1" customHeight="1" x14ac:dyDescent="0.3">
      <c r="A37" s="65"/>
      <c r="B37" s="51" t="s">
        <v>47</v>
      </c>
      <c r="D37" s="52"/>
      <c r="F37" s="53" t="s">
        <v>30</v>
      </c>
      <c r="G37" s="53"/>
      <c r="H37" s="54" t="s">
        <v>33</v>
      </c>
      <c r="I37" s="54"/>
      <c r="J37" s="54" t="s">
        <v>30</v>
      </c>
      <c r="K37" s="55"/>
    </row>
    <row r="38" spans="1:11" ht="14.1" customHeight="1" x14ac:dyDescent="0.3">
      <c r="A38" s="65"/>
      <c r="B38" s="51" t="s">
        <v>48</v>
      </c>
      <c r="F38" s="53" t="s">
        <v>30</v>
      </c>
      <c r="G38" s="53"/>
      <c r="H38" s="54" t="s">
        <v>33</v>
      </c>
      <c r="I38" s="54"/>
      <c r="J38" s="54" t="s">
        <v>30</v>
      </c>
      <c r="K38" s="55"/>
    </row>
    <row r="39" spans="1:11" ht="12.75" customHeight="1" x14ac:dyDescent="0.3">
      <c r="A39" s="56" t="s">
        <v>49</v>
      </c>
      <c r="B39" s="57"/>
      <c r="C39" s="57"/>
      <c r="D39" s="52"/>
      <c r="E39" s="58"/>
      <c r="F39" s="58"/>
      <c r="G39" s="59"/>
      <c r="H39" s="59"/>
      <c r="I39" s="59"/>
      <c r="J39" s="59"/>
      <c r="K39" s="60"/>
    </row>
    <row r="40" spans="1:11" ht="14.1" customHeight="1" x14ac:dyDescent="0.3">
      <c r="A40" s="50"/>
      <c r="B40" s="51" t="s">
        <v>50</v>
      </c>
      <c r="F40" s="53" t="s">
        <v>51</v>
      </c>
      <c r="G40" s="53"/>
      <c r="H40" s="54" t="s">
        <v>52</v>
      </c>
      <c r="I40" s="54"/>
      <c r="J40" s="54" t="s">
        <v>51</v>
      </c>
      <c r="K40" s="55"/>
    </row>
    <row r="41" spans="1:11" ht="14.1" customHeight="1" x14ac:dyDescent="0.3">
      <c r="A41" s="50"/>
      <c r="B41" s="51" t="s">
        <v>53</v>
      </c>
      <c r="D41" s="63"/>
      <c r="E41" s="63"/>
      <c r="F41" s="53" t="s">
        <v>51</v>
      </c>
      <c r="G41" s="53"/>
      <c r="H41" s="54" t="s">
        <v>52</v>
      </c>
      <c r="I41" s="54"/>
      <c r="J41" s="54" t="s">
        <v>51</v>
      </c>
      <c r="K41" s="55"/>
    </row>
    <row r="42" spans="1:11" ht="14.1" customHeight="1" x14ac:dyDescent="0.3">
      <c r="A42" s="50"/>
      <c r="B42" s="51" t="s">
        <v>54</v>
      </c>
      <c r="D42" s="63"/>
      <c r="E42" s="63"/>
      <c r="F42" s="53" t="s">
        <v>55</v>
      </c>
      <c r="G42" s="53"/>
      <c r="H42" s="54" t="s">
        <v>56</v>
      </c>
      <c r="I42" s="54"/>
      <c r="J42" s="54" t="s">
        <v>57</v>
      </c>
      <c r="K42" s="55"/>
    </row>
    <row r="43" spans="1:11" ht="14.1" customHeight="1" x14ac:dyDescent="0.3">
      <c r="A43" s="50"/>
      <c r="B43" s="51" t="s">
        <v>58</v>
      </c>
      <c r="F43" s="53" t="s">
        <v>59</v>
      </c>
      <c r="G43" s="53"/>
      <c r="H43" s="54" t="s">
        <v>56</v>
      </c>
      <c r="I43" s="54"/>
      <c r="J43" s="54" t="s">
        <v>57</v>
      </c>
      <c r="K43" s="55"/>
    </row>
    <row r="44" spans="1:11" ht="14.1" customHeight="1" x14ac:dyDescent="0.3">
      <c r="A44" s="50"/>
      <c r="B44" s="51" t="s">
        <v>60</v>
      </c>
      <c r="C44" s="66"/>
      <c r="D44" s="63"/>
      <c r="E44" s="63"/>
      <c r="F44" s="53" t="s">
        <v>51</v>
      </c>
      <c r="G44" s="53"/>
      <c r="H44" s="54" t="s">
        <v>56</v>
      </c>
      <c r="I44" s="54"/>
      <c r="J44" s="54" t="s">
        <v>61</v>
      </c>
      <c r="K44" s="55"/>
    </row>
    <row r="45" spans="1:11" ht="14.1" customHeight="1" x14ac:dyDescent="0.3">
      <c r="A45" s="50"/>
      <c r="B45" s="51" t="s">
        <v>62</v>
      </c>
      <c r="F45" s="53" t="s">
        <v>59</v>
      </c>
      <c r="G45" s="53"/>
      <c r="H45" s="54" t="s">
        <v>52</v>
      </c>
      <c r="I45" s="54"/>
      <c r="J45" s="54" t="s">
        <v>57</v>
      </c>
      <c r="K45" s="55"/>
    </row>
    <row r="46" spans="1:11" ht="14.1" customHeight="1" x14ac:dyDescent="0.3">
      <c r="A46" s="50"/>
      <c r="B46" s="51" t="s">
        <v>63</v>
      </c>
      <c r="C46" s="66"/>
      <c r="D46" s="67"/>
      <c r="E46" s="67"/>
      <c r="F46" s="53" t="s">
        <v>59</v>
      </c>
      <c r="G46" s="53"/>
      <c r="H46" s="54" t="s">
        <v>52</v>
      </c>
      <c r="I46" s="54"/>
      <c r="J46" s="54" t="s">
        <v>61</v>
      </c>
      <c r="K46" s="55"/>
    </row>
    <row r="47" spans="1:11" ht="14.1" customHeight="1" x14ac:dyDescent="0.3">
      <c r="A47" s="50"/>
      <c r="B47" s="51" t="s">
        <v>64</v>
      </c>
      <c r="D47" s="68"/>
      <c r="E47" s="68"/>
      <c r="F47" s="53" t="s">
        <v>61</v>
      </c>
      <c r="G47" s="53"/>
      <c r="H47" s="54" t="s">
        <v>52</v>
      </c>
      <c r="I47" s="54"/>
      <c r="J47" s="54" t="s">
        <v>61</v>
      </c>
      <c r="K47" s="55"/>
    </row>
    <row r="48" spans="1:11" ht="14.1" customHeight="1" x14ac:dyDescent="0.3">
      <c r="A48" s="50"/>
      <c r="B48" s="69" t="s">
        <v>65</v>
      </c>
      <c r="C48" s="70"/>
      <c r="D48" s="70"/>
      <c r="E48" s="70"/>
      <c r="F48" s="53" t="s">
        <v>61</v>
      </c>
      <c r="G48" s="53"/>
      <c r="H48" s="54" t="s">
        <v>52</v>
      </c>
      <c r="I48" s="54"/>
      <c r="J48" s="54" t="s">
        <v>61</v>
      </c>
      <c r="K48" s="55"/>
    </row>
    <row r="49" spans="1:11" ht="14.1" customHeight="1" x14ac:dyDescent="0.3">
      <c r="A49" s="50"/>
      <c r="B49" s="69"/>
      <c r="C49" s="70"/>
      <c r="D49" s="70"/>
      <c r="E49" s="70"/>
      <c r="F49" s="53" t="s">
        <v>51</v>
      </c>
      <c r="G49" s="53"/>
      <c r="H49" s="54" t="s">
        <v>56</v>
      </c>
      <c r="I49" s="54"/>
      <c r="J49" s="54" t="s">
        <v>61</v>
      </c>
      <c r="K49" s="55"/>
    </row>
    <row r="50" spans="1:11" ht="14.1" customHeight="1" x14ac:dyDescent="0.3">
      <c r="A50" s="50"/>
      <c r="B50" s="51" t="s">
        <v>66</v>
      </c>
      <c r="C50" s="66"/>
      <c r="D50" s="67"/>
      <c r="E50" s="67"/>
      <c r="F50" s="53" t="s">
        <v>61</v>
      </c>
      <c r="G50" s="53"/>
      <c r="H50" s="54" t="s">
        <v>52</v>
      </c>
      <c r="I50" s="54"/>
      <c r="J50" s="54" t="s">
        <v>61</v>
      </c>
      <c r="K50" s="55"/>
    </row>
    <row r="51" spans="1:11" ht="15" thickBot="1" x14ac:dyDescent="0.35">
      <c r="A51" s="71" t="s">
        <v>67</v>
      </c>
      <c r="B51" s="72"/>
      <c r="C51" s="72"/>
      <c r="D51" s="72"/>
      <c r="E51" s="72"/>
      <c r="F51" s="72"/>
      <c r="G51" s="72"/>
      <c r="H51" s="72"/>
      <c r="I51" s="72"/>
      <c r="J51" s="72"/>
      <c r="K51" s="73"/>
    </row>
    <row r="52" spans="1:11" ht="14.1" customHeight="1" x14ac:dyDescent="0.3">
      <c r="A52" s="74" t="s">
        <v>68</v>
      </c>
      <c r="B52" s="74"/>
      <c r="C52" s="75"/>
      <c r="D52" s="75"/>
      <c r="E52" s="75"/>
      <c r="F52" s="75"/>
      <c r="G52" s="75"/>
      <c r="H52" s="75"/>
      <c r="I52" s="75"/>
      <c r="J52" s="75"/>
      <c r="K52" s="75"/>
    </row>
    <row r="53" spans="1:11" ht="5.55" customHeight="1" x14ac:dyDescent="0.3">
      <c r="A53" s="76"/>
      <c r="B53" s="76"/>
      <c r="C53" s="77"/>
      <c r="D53" s="77"/>
      <c r="E53" s="77"/>
      <c r="F53" s="77"/>
      <c r="G53" s="77"/>
      <c r="H53" s="77"/>
      <c r="I53" s="77"/>
      <c r="J53" s="77"/>
      <c r="K53" s="77"/>
    </row>
    <row r="54" spans="1:11" s="79" customFormat="1" ht="12.75" customHeight="1" x14ac:dyDescent="0.3">
      <c r="A54" s="78" t="s">
        <v>69</v>
      </c>
      <c r="E54" s="80" t="s">
        <v>70</v>
      </c>
      <c r="I54" s="80" t="s">
        <v>71</v>
      </c>
    </row>
    <row r="55" spans="1:11" ht="14.1" customHeight="1" x14ac:dyDescent="0.3">
      <c r="I55" s="79"/>
    </row>
    <row r="56" spans="1:11" x14ac:dyDescent="0.3">
      <c r="A56" s="81" t="s">
        <v>72</v>
      </c>
      <c r="B56" s="81"/>
      <c r="C56" s="81"/>
      <c r="D56" s="81"/>
      <c r="E56" s="81" t="s">
        <v>73</v>
      </c>
      <c r="F56" s="81"/>
      <c r="G56" s="81"/>
      <c r="H56" s="81"/>
      <c r="I56" s="82" t="s">
        <v>74</v>
      </c>
      <c r="J56" s="82"/>
      <c r="K56" s="82"/>
    </row>
    <row r="57" spans="1:11" ht="12.75" customHeight="1" x14ac:dyDescent="0.3">
      <c r="A57" s="83" t="s">
        <v>75</v>
      </c>
      <c r="B57" s="83"/>
      <c r="C57" s="83"/>
      <c r="D57" s="83"/>
      <c r="E57" s="84" t="s">
        <v>76</v>
      </c>
      <c r="F57" s="84"/>
      <c r="G57" s="84"/>
      <c r="H57" s="84"/>
      <c r="I57" s="84" t="s">
        <v>77</v>
      </c>
      <c r="J57" s="84"/>
      <c r="K57" s="84"/>
    </row>
    <row r="58" spans="1:11" ht="12.75" customHeight="1" x14ac:dyDescent="0.3">
      <c r="A58" s="84" t="str">
        <f>IF(A56=A65,"Lic. No. 0091946",IF(A56=A66,"Lic. No. 0068902",IF(A56=A67,"Lic. No. 0081395",IF(A56=A68,"Lic. No. 0054465",IF(A56=A69,"Lic. No. 0060939")))))</f>
        <v>Lic. No. 0068902</v>
      </c>
      <c r="B58" s="84"/>
      <c r="C58" s="84"/>
      <c r="D58" s="84"/>
      <c r="E58" s="84" t="s">
        <v>78</v>
      </c>
      <c r="F58" s="84"/>
      <c r="G58" s="84"/>
      <c r="H58" s="84"/>
      <c r="I58" s="84" t="s">
        <v>79</v>
      </c>
      <c r="J58" s="84"/>
      <c r="K58" s="84"/>
    </row>
    <row r="59" spans="1:11" x14ac:dyDescent="0.3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</row>
    <row r="61" spans="1:11" x14ac:dyDescent="0.3">
      <c r="A61" s="85"/>
      <c r="B61" s="85"/>
      <c r="C61" s="85"/>
      <c r="D61" s="85"/>
    </row>
    <row r="62" spans="1:11" x14ac:dyDescent="0.3">
      <c r="C62" s="85"/>
      <c r="D62" s="85"/>
    </row>
    <row r="63" spans="1:11" ht="14.4" customHeight="1" x14ac:dyDescent="0.3">
      <c r="C63" s="85"/>
      <c r="D63" s="85"/>
    </row>
    <row r="65" spans="1:11" x14ac:dyDescent="0.3">
      <c r="A65" s="86" t="s">
        <v>80</v>
      </c>
      <c r="B65" s="86" t="s">
        <v>81</v>
      </c>
    </row>
    <row r="66" spans="1:11" x14ac:dyDescent="0.3">
      <c r="A66" s="87" t="s">
        <v>72</v>
      </c>
      <c r="B66" s="88" t="s">
        <v>82</v>
      </c>
    </row>
    <row r="67" spans="1:11" x14ac:dyDescent="0.3">
      <c r="A67" s="87" t="s">
        <v>83</v>
      </c>
      <c r="B67" s="88" t="s">
        <v>84</v>
      </c>
    </row>
    <row r="68" spans="1:11" x14ac:dyDescent="0.3">
      <c r="A68" t="s">
        <v>85</v>
      </c>
      <c r="B68" t="s">
        <v>86</v>
      </c>
    </row>
    <row r="69" spans="1:11" x14ac:dyDescent="0.3">
      <c r="A69" t="s">
        <v>87</v>
      </c>
      <c r="B69" t="s">
        <v>88</v>
      </c>
    </row>
    <row r="72" spans="1:11" s="52" customFormat="1" x14ac:dyDescent="0.3">
      <c r="A72" s="52" t="s">
        <v>89</v>
      </c>
      <c r="B72" s="52" t="s">
        <v>90</v>
      </c>
      <c r="C72" s="52" t="s">
        <v>91</v>
      </c>
      <c r="D72" s="52" t="s">
        <v>92</v>
      </c>
      <c r="E72" s="52" t="s">
        <v>93</v>
      </c>
      <c r="F72" s="52" t="s">
        <v>94</v>
      </c>
      <c r="G72" s="52" t="s">
        <v>38</v>
      </c>
      <c r="H72" s="52" t="s">
        <v>95</v>
      </c>
      <c r="I72" s="52" t="s">
        <v>96</v>
      </c>
      <c r="J72" s="52" t="s">
        <v>97</v>
      </c>
      <c r="K72" s="52" t="s">
        <v>98</v>
      </c>
    </row>
    <row r="73" spans="1:11" x14ac:dyDescent="0.3">
      <c r="A73" t="s">
        <v>99</v>
      </c>
      <c r="B73" t="s">
        <v>27</v>
      </c>
      <c r="C73" t="s">
        <v>30</v>
      </c>
      <c r="D73" t="s">
        <v>30</v>
      </c>
      <c r="E73" t="s">
        <v>35</v>
      </c>
      <c r="F73" t="s">
        <v>30</v>
      </c>
      <c r="G73" s="89">
        <v>5</v>
      </c>
      <c r="H73" t="s">
        <v>30</v>
      </c>
      <c r="I73" s="90">
        <v>1</v>
      </c>
      <c r="J73" t="s">
        <v>30</v>
      </c>
      <c r="K73" t="s">
        <v>30</v>
      </c>
    </row>
    <row r="74" spans="1:11" x14ac:dyDescent="0.3">
      <c r="A74" t="s">
        <v>100</v>
      </c>
      <c r="B74" t="s">
        <v>101</v>
      </c>
      <c r="C74" t="s">
        <v>102</v>
      </c>
      <c r="D74" t="s">
        <v>103</v>
      </c>
      <c r="E74" t="s">
        <v>104</v>
      </c>
      <c r="F74" t="s">
        <v>105</v>
      </c>
      <c r="G74" s="89">
        <v>6</v>
      </c>
      <c r="H74" t="s">
        <v>106</v>
      </c>
      <c r="I74" s="90">
        <v>1.0049999999999999</v>
      </c>
      <c r="J74" t="s">
        <v>107</v>
      </c>
      <c r="K74" t="s">
        <v>108</v>
      </c>
    </row>
    <row r="75" spans="1:11" x14ac:dyDescent="0.3">
      <c r="A75" t="s">
        <v>24</v>
      </c>
      <c r="B75" t="s">
        <v>109</v>
      </c>
      <c r="C75" t="s">
        <v>110</v>
      </c>
      <c r="D75" t="s">
        <v>111</v>
      </c>
      <c r="E75" t="s">
        <v>112</v>
      </c>
      <c r="F75" t="s">
        <v>113</v>
      </c>
      <c r="G75" s="89">
        <v>6.5</v>
      </c>
      <c r="H75" t="s">
        <v>114</v>
      </c>
      <c r="I75" s="90">
        <v>1.01</v>
      </c>
      <c r="J75" t="s">
        <v>106</v>
      </c>
      <c r="K75" t="s">
        <v>115</v>
      </c>
    </row>
    <row r="76" spans="1:11" x14ac:dyDescent="0.3">
      <c r="A76" t="s">
        <v>116</v>
      </c>
      <c r="B76" t="s">
        <v>117</v>
      </c>
      <c r="C76" t="s">
        <v>118</v>
      </c>
      <c r="E76" t="s">
        <v>119</v>
      </c>
      <c r="F76" t="s">
        <v>120</v>
      </c>
      <c r="G76" s="89">
        <v>7</v>
      </c>
      <c r="H76" t="s">
        <v>121</v>
      </c>
      <c r="I76" s="90">
        <v>1.0149999999999999</v>
      </c>
      <c r="J76" t="s">
        <v>114</v>
      </c>
      <c r="K76" t="s">
        <v>122</v>
      </c>
    </row>
    <row r="77" spans="1:11" x14ac:dyDescent="0.3">
      <c r="A77" t="s">
        <v>123</v>
      </c>
      <c r="B77" t="s">
        <v>124</v>
      </c>
      <c r="E77" t="s">
        <v>125</v>
      </c>
      <c r="F77" t="s">
        <v>126</v>
      </c>
      <c r="G77" s="89">
        <v>7.5</v>
      </c>
      <c r="I77" s="90">
        <v>1.02</v>
      </c>
      <c r="J77" t="s">
        <v>127</v>
      </c>
    </row>
    <row r="78" spans="1:11" x14ac:dyDescent="0.3">
      <c r="A78" t="s">
        <v>128</v>
      </c>
      <c r="F78" t="s">
        <v>129</v>
      </c>
      <c r="G78" s="89">
        <v>8</v>
      </c>
      <c r="H78" t="s">
        <v>130</v>
      </c>
      <c r="I78" s="90">
        <v>1.0249999999999999</v>
      </c>
    </row>
    <row r="79" spans="1:11" x14ac:dyDescent="0.3">
      <c r="A79" t="s">
        <v>131</v>
      </c>
      <c r="G79" s="89">
        <v>9</v>
      </c>
      <c r="H79" t="s">
        <v>132</v>
      </c>
      <c r="I79" s="90">
        <v>1.03</v>
      </c>
    </row>
    <row r="80" spans="1:11" x14ac:dyDescent="0.3">
      <c r="A80" t="s">
        <v>133</v>
      </c>
      <c r="G80" s="89"/>
    </row>
    <row r="81" spans="1:11" x14ac:dyDescent="0.3">
      <c r="A81" t="s">
        <v>134</v>
      </c>
      <c r="G81" s="89"/>
    </row>
    <row r="82" spans="1:11" x14ac:dyDescent="0.3">
      <c r="A82" t="s">
        <v>135</v>
      </c>
      <c r="G82" s="89"/>
    </row>
    <row r="83" spans="1:11" x14ac:dyDescent="0.3">
      <c r="A83" t="s">
        <v>136</v>
      </c>
      <c r="C83" s="52" t="s">
        <v>137</v>
      </c>
      <c r="D83" s="52" t="s">
        <v>138</v>
      </c>
      <c r="E83" s="52" t="s">
        <v>139</v>
      </c>
      <c r="F83" s="52" t="s">
        <v>140</v>
      </c>
      <c r="G83" s="52" t="s">
        <v>141</v>
      </c>
      <c r="H83" s="52" t="s">
        <v>142</v>
      </c>
      <c r="I83" s="52" t="s">
        <v>143</v>
      </c>
      <c r="J83" s="52" t="s">
        <v>144</v>
      </c>
      <c r="K83" s="52" t="s">
        <v>145</v>
      </c>
    </row>
    <row r="84" spans="1:11" x14ac:dyDescent="0.3">
      <c r="A84" t="s">
        <v>146</v>
      </c>
      <c r="C84" t="s">
        <v>30</v>
      </c>
      <c r="D84" t="s">
        <v>61</v>
      </c>
      <c r="E84" t="s">
        <v>147</v>
      </c>
    </row>
    <row r="85" spans="1:11" x14ac:dyDescent="0.3">
      <c r="A85" t="s">
        <v>148</v>
      </c>
      <c r="C85" t="s">
        <v>149</v>
      </c>
      <c r="D85" t="s">
        <v>55</v>
      </c>
      <c r="E85" t="s">
        <v>150</v>
      </c>
      <c r="F85" t="s">
        <v>151</v>
      </c>
      <c r="G85" t="s">
        <v>152</v>
      </c>
      <c r="H85" t="s">
        <v>153</v>
      </c>
      <c r="I85" t="s">
        <v>154</v>
      </c>
      <c r="J85" t="s">
        <v>155</v>
      </c>
      <c r="K85" t="s">
        <v>156</v>
      </c>
    </row>
    <row r="86" spans="1:11" x14ac:dyDescent="0.3">
      <c r="A86" t="s">
        <v>157</v>
      </c>
      <c r="C86" t="s">
        <v>158</v>
      </c>
      <c r="D86" t="s">
        <v>59</v>
      </c>
      <c r="E86" t="s">
        <v>159</v>
      </c>
      <c r="F86" t="s">
        <v>160</v>
      </c>
      <c r="G86" t="s">
        <v>139</v>
      </c>
      <c r="H86" t="s">
        <v>161</v>
      </c>
      <c r="I86" t="s">
        <v>162</v>
      </c>
      <c r="J86" t="s">
        <v>163</v>
      </c>
      <c r="K86" t="s">
        <v>164</v>
      </c>
    </row>
    <row r="87" spans="1:11" x14ac:dyDescent="0.3">
      <c r="A87" t="s">
        <v>165</v>
      </c>
      <c r="C87" t="s">
        <v>166</v>
      </c>
      <c r="D87" t="s">
        <v>167</v>
      </c>
      <c r="E87" t="s">
        <v>168</v>
      </c>
      <c r="F87" t="s">
        <v>169</v>
      </c>
      <c r="G87" t="s">
        <v>170</v>
      </c>
      <c r="I87" t="s">
        <v>171</v>
      </c>
      <c r="J87" t="s">
        <v>172</v>
      </c>
      <c r="K87" t="s">
        <v>173</v>
      </c>
    </row>
    <row r="88" spans="1:11" x14ac:dyDescent="0.3">
      <c r="A88" t="s">
        <v>174</v>
      </c>
      <c r="C88" t="s">
        <v>175</v>
      </c>
      <c r="D88" t="s">
        <v>176</v>
      </c>
      <c r="E88" t="s">
        <v>177</v>
      </c>
      <c r="F88" t="s">
        <v>178</v>
      </c>
      <c r="G88" t="s">
        <v>179</v>
      </c>
      <c r="J88" t="s">
        <v>180</v>
      </c>
      <c r="K88" t="s">
        <v>181</v>
      </c>
    </row>
    <row r="89" spans="1:11" x14ac:dyDescent="0.3">
      <c r="A89" t="s">
        <v>182</v>
      </c>
      <c r="C89" t="s">
        <v>183</v>
      </c>
      <c r="D89" t="s">
        <v>184</v>
      </c>
      <c r="G89" t="s">
        <v>185</v>
      </c>
      <c r="J89" t="s">
        <v>186</v>
      </c>
    </row>
    <row r="90" spans="1:11" x14ac:dyDescent="0.3">
      <c r="A90" t="s">
        <v>187</v>
      </c>
      <c r="G90" t="s">
        <v>188</v>
      </c>
      <c r="J90" t="s">
        <v>189</v>
      </c>
    </row>
    <row r="91" spans="1:11" x14ac:dyDescent="0.3">
      <c r="A91" t="s">
        <v>190</v>
      </c>
      <c r="G91" t="s">
        <v>191</v>
      </c>
      <c r="J91" t="s">
        <v>192</v>
      </c>
    </row>
    <row r="92" spans="1:11" x14ac:dyDescent="0.3">
      <c r="J92" t="s">
        <v>193</v>
      </c>
    </row>
    <row r="93" spans="1:11" x14ac:dyDescent="0.3">
      <c r="G93" t="s">
        <v>194</v>
      </c>
      <c r="J93" t="s">
        <v>195</v>
      </c>
    </row>
    <row r="94" spans="1:11" x14ac:dyDescent="0.3">
      <c r="G94" t="s">
        <v>196</v>
      </c>
      <c r="J94" t="s">
        <v>197</v>
      </c>
    </row>
    <row r="95" spans="1:11" x14ac:dyDescent="0.3">
      <c r="G95" t="s">
        <v>198</v>
      </c>
      <c r="J95" t="s">
        <v>199</v>
      </c>
    </row>
    <row r="96" spans="1:11" x14ac:dyDescent="0.3">
      <c r="J96" t="s">
        <v>200</v>
      </c>
    </row>
    <row r="97" spans="10:10" x14ac:dyDescent="0.3">
      <c r="J97" t="s">
        <v>201</v>
      </c>
    </row>
    <row r="98" spans="10:10" x14ac:dyDescent="0.3">
      <c r="J98" t="s">
        <v>98</v>
      </c>
    </row>
    <row r="99" spans="10:10" x14ac:dyDescent="0.3">
      <c r="J99" t="s">
        <v>202</v>
      </c>
    </row>
    <row r="100" spans="10:10" x14ac:dyDescent="0.3">
      <c r="J100" t="s">
        <v>203</v>
      </c>
    </row>
    <row r="101" spans="10:10" x14ac:dyDescent="0.3">
      <c r="J101" t="s">
        <v>204</v>
      </c>
    </row>
    <row r="102" spans="10:10" x14ac:dyDescent="0.3">
      <c r="J102" t="s">
        <v>205</v>
      </c>
    </row>
    <row r="103" spans="10:10" x14ac:dyDescent="0.3">
      <c r="J103" t="s">
        <v>206</v>
      </c>
    </row>
    <row r="104" spans="10:10" x14ac:dyDescent="0.3">
      <c r="J104" t="s">
        <v>207</v>
      </c>
    </row>
    <row r="105" spans="10:10" x14ac:dyDescent="0.3">
      <c r="J105" t="s">
        <v>208</v>
      </c>
    </row>
    <row r="106" spans="10:10" x14ac:dyDescent="0.3">
      <c r="J106" t="s">
        <v>209</v>
      </c>
    </row>
    <row r="107" spans="10:10" x14ac:dyDescent="0.3">
      <c r="J107" t="s">
        <v>210</v>
      </c>
    </row>
    <row r="108" spans="10:10" x14ac:dyDescent="0.3">
      <c r="J108" t="s">
        <v>211</v>
      </c>
    </row>
    <row r="109" spans="10:10" x14ac:dyDescent="0.3">
      <c r="J109" t="s">
        <v>212</v>
      </c>
    </row>
    <row r="135" spans="3:9" x14ac:dyDescent="0.3">
      <c r="C135" s="91"/>
      <c r="D135" s="92"/>
      <c r="E135" s="93"/>
      <c r="H135" s="94"/>
      <c r="I135" s="95"/>
    </row>
    <row r="136" spans="3:9" x14ac:dyDescent="0.3">
      <c r="C136" s="91"/>
      <c r="D136" s="96"/>
      <c r="E136" s="93"/>
      <c r="H136" s="97"/>
      <c r="I136" s="95"/>
    </row>
    <row r="137" spans="3:9" x14ac:dyDescent="0.3">
      <c r="C137" s="91"/>
      <c r="D137" s="96"/>
      <c r="E137" s="93"/>
      <c r="H137" s="97"/>
      <c r="I137" s="95"/>
    </row>
    <row r="138" spans="3:9" x14ac:dyDescent="0.3">
      <c r="C138" s="91"/>
      <c r="D138" s="96"/>
      <c r="E138" s="93"/>
      <c r="H138" s="97"/>
      <c r="I138" s="95"/>
    </row>
    <row r="139" spans="3:9" x14ac:dyDescent="0.3">
      <c r="C139" s="91"/>
      <c r="D139" s="96"/>
      <c r="E139" s="93"/>
      <c r="H139" s="97"/>
      <c r="I139" s="95"/>
    </row>
    <row r="140" spans="3:9" x14ac:dyDescent="0.3">
      <c r="C140" s="91"/>
      <c r="D140" s="96"/>
      <c r="E140" s="93"/>
      <c r="H140" s="97"/>
      <c r="I140" s="95"/>
    </row>
  </sheetData>
  <mergeCells count="137">
    <mergeCell ref="A58:D58"/>
    <mergeCell ref="E58:H58"/>
    <mergeCell ref="I58:K58"/>
    <mergeCell ref="A59:D59"/>
    <mergeCell ref="E59:G59"/>
    <mergeCell ref="H59:K59"/>
    <mergeCell ref="A56:D56"/>
    <mergeCell ref="E56:H56"/>
    <mergeCell ref="I56:K56"/>
    <mergeCell ref="A57:D57"/>
    <mergeCell ref="E57:H57"/>
    <mergeCell ref="I57:K57"/>
    <mergeCell ref="D50:E50"/>
    <mergeCell ref="F50:G50"/>
    <mergeCell ref="H50:I50"/>
    <mergeCell ref="J50:K50"/>
    <mergeCell ref="A51:K51"/>
    <mergeCell ref="A52:B52"/>
    <mergeCell ref="C52:K52"/>
    <mergeCell ref="B48:B49"/>
    <mergeCell ref="C48:E48"/>
    <mergeCell ref="F48:G48"/>
    <mergeCell ref="H48:I48"/>
    <mergeCell ref="J48:K48"/>
    <mergeCell ref="C49:E49"/>
    <mergeCell ref="F49:G49"/>
    <mergeCell ref="H49:I49"/>
    <mergeCell ref="J49:K49"/>
    <mergeCell ref="D46:E46"/>
    <mergeCell ref="F46:G46"/>
    <mergeCell ref="H46:I46"/>
    <mergeCell ref="J46:K46"/>
    <mergeCell ref="D47:E47"/>
    <mergeCell ref="F47:G47"/>
    <mergeCell ref="H47:I47"/>
    <mergeCell ref="J47:K47"/>
    <mergeCell ref="D44:E44"/>
    <mergeCell ref="F44:G44"/>
    <mergeCell ref="H44:I44"/>
    <mergeCell ref="J44:K44"/>
    <mergeCell ref="F45:G45"/>
    <mergeCell ref="H45:I45"/>
    <mergeCell ref="J45:K45"/>
    <mergeCell ref="D42:E42"/>
    <mergeCell ref="F42:G42"/>
    <mergeCell ref="H42:I42"/>
    <mergeCell ref="J42:K42"/>
    <mergeCell ref="F43:G43"/>
    <mergeCell ref="H43:I43"/>
    <mergeCell ref="J43:K43"/>
    <mergeCell ref="F40:G40"/>
    <mergeCell ref="H40:I40"/>
    <mergeCell ref="J40:K40"/>
    <mergeCell ref="D41:E41"/>
    <mergeCell ref="F41:G41"/>
    <mergeCell ref="H41:I41"/>
    <mergeCell ref="J41:K41"/>
    <mergeCell ref="F38:G38"/>
    <mergeCell ref="H38:I38"/>
    <mergeCell ref="J38:K38"/>
    <mergeCell ref="A39:C39"/>
    <mergeCell ref="E39:F39"/>
    <mergeCell ref="G39:H39"/>
    <mergeCell ref="I39:K39"/>
    <mergeCell ref="F36:G36"/>
    <mergeCell ref="H36:I36"/>
    <mergeCell ref="J36:K36"/>
    <mergeCell ref="F37:G37"/>
    <mergeCell ref="H37:I37"/>
    <mergeCell ref="J37:K37"/>
    <mergeCell ref="D34:E34"/>
    <mergeCell ref="F34:G34"/>
    <mergeCell ref="H34:I34"/>
    <mergeCell ref="J34:K34"/>
    <mergeCell ref="F35:G35"/>
    <mergeCell ref="H35:I35"/>
    <mergeCell ref="J35:K35"/>
    <mergeCell ref="F32:G32"/>
    <mergeCell ref="H32:I32"/>
    <mergeCell ref="J32:K32"/>
    <mergeCell ref="F33:G33"/>
    <mergeCell ref="H33:I33"/>
    <mergeCell ref="J33:K33"/>
    <mergeCell ref="F30:G30"/>
    <mergeCell ref="H30:I30"/>
    <mergeCell ref="J30:K30"/>
    <mergeCell ref="F31:G31"/>
    <mergeCell ref="H31:I31"/>
    <mergeCell ref="J31:K31"/>
    <mergeCell ref="A28:C28"/>
    <mergeCell ref="E28:F28"/>
    <mergeCell ref="G28:H28"/>
    <mergeCell ref="I28:K28"/>
    <mergeCell ref="F29:G29"/>
    <mergeCell ref="H29:I29"/>
    <mergeCell ref="J29:K29"/>
    <mergeCell ref="A25:C25"/>
    <mergeCell ref="F26:G26"/>
    <mergeCell ref="H26:I26"/>
    <mergeCell ref="J26:K26"/>
    <mergeCell ref="F27:G27"/>
    <mergeCell ref="H27:I27"/>
    <mergeCell ref="J27:K27"/>
    <mergeCell ref="A23:K23"/>
    <mergeCell ref="A24:C24"/>
    <mergeCell ref="D24:E24"/>
    <mergeCell ref="F24:G24"/>
    <mergeCell ref="H24:I24"/>
    <mergeCell ref="J24:K24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dataValidations count="22">
    <dataValidation type="list" allowBlank="1" showInputMessage="1" showErrorMessage="1" sqref="D34:E34" xr:uid="{4CB4ADB6-72AB-4D62-AF80-49A343A328E4}">
      <formula1>$H$77:$H$79</formula1>
    </dataValidation>
    <dataValidation type="list" allowBlank="1" showInputMessage="1" showErrorMessage="1" sqref="C48:E49" xr:uid="{1A145231-FF2B-4E3D-9F36-E77F35C175F9}">
      <formula1>$J$84:$J$109</formula1>
    </dataValidation>
    <dataValidation type="list" allowBlank="1" showInputMessage="1" showErrorMessage="1" sqref="D50:E50" xr:uid="{EB56FAD4-4888-4986-B917-82BF0D456358}">
      <formula1>$K$84:$K$88</formula1>
    </dataValidation>
    <dataValidation type="list" allowBlank="1" showInputMessage="1" showErrorMessage="1" sqref="D47" xr:uid="{509B819E-738E-4829-AB96-7810DD9AB613}">
      <formula1>$I$84:$I$87</formula1>
    </dataValidation>
    <dataValidation type="list" allowBlank="1" showInputMessage="1" showErrorMessage="1" sqref="D46:E46" xr:uid="{9F96BA30-C630-4D0C-BD5A-CC80F66DF2A5}">
      <formula1>$H$84:$H$86</formula1>
    </dataValidation>
    <dataValidation type="list" allowBlank="1" showInputMessage="1" showErrorMessage="1" sqref="D42:E42" xr:uid="{5886F937-E433-4201-A4F9-8B429C720610}">
      <formula1>$F$84:$F$88</formula1>
    </dataValidation>
    <dataValidation type="list" allowBlank="1" showInputMessage="1" showErrorMessage="1" sqref="D44:E44" xr:uid="{2C451B42-CEF8-4F29-BE6F-5A55F1A48E76}">
      <formula1>$G$84:$G$95</formula1>
    </dataValidation>
    <dataValidation type="list" allowBlank="1" showInputMessage="1" showErrorMessage="1" sqref="D41:E41" xr:uid="{63181245-19A0-4253-A81F-6822A784E49D}">
      <formula1>$E$84:$E$88</formula1>
    </dataValidation>
    <dataValidation type="list" allowBlank="1" showInputMessage="1" showErrorMessage="1" sqref="F45:G48 F50:G50 F42:G43" xr:uid="{1706BAD4-E219-47A2-8312-352156BC3250}">
      <formula1>$D$84:$D$89</formula1>
    </dataValidation>
    <dataValidation type="list" allowBlank="1" showInputMessage="1" showErrorMessage="1" sqref="F38" xr:uid="{3BEA9BFB-6940-4446-8496-E01467CD8A1E}">
      <formula1>$C$84:$C$89</formula1>
    </dataValidation>
    <dataValidation type="list" allowBlank="1" showInputMessage="1" showErrorMessage="1" sqref="F37" xr:uid="{40EBC95E-8CCB-4ACF-915A-9B0B9D25AB4D}">
      <formula1>$K$73:$K$76</formula1>
    </dataValidation>
    <dataValidation type="list" allowBlank="1" showInputMessage="1" showErrorMessage="1" sqref="F36" xr:uid="{CBDE3853-DFFB-4244-AC12-E1C15AB17BFD}">
      <formula1>$J$73:$J$77</formula1>
    </dataValidation>
    <dataValidation type="list" allowBlank="1" showInputMessage="1" showErrorMessage="1" sqref="F35" xr:uid="{8CF22284-A8D3-4624-8CB2-DAE20DA91434}">
      <formula1>$I$73:$I$79</formula1>
    </dataValidation>
    <dataValidation type="list" allowBlank="1" showInputMessage="1" showErrorMessage="1" sqref="F34" xr:uid="{1E5BAD73-D42B-434A-82D7-45120F7DF651}">
      <formula1>$H$73:$H$76</formula1>
    </dataValidation>
    <dataValidation type="list" allowBlank="1" showInputMessage="1" showErrorMessage="1" sqref="F33" xr:uid="{908D44E5-ACA1-491C-A9AF-B07609C6D362}">
      <formula1>$G$73:$G$79</formula1>
    </dataValidation>
    <dataValidation type="list" allowBlank="1" showInputMessage="1" showErrorMessage="1" sqref="F32" xr:uid="{D5161445-F40C-4C32-B1C8-412CE2ED4BB6}">
      <formula1>$F$73:$F$78</formula1>
    </dataValidation>
    <dataValidation type="list" allowBlank="1" showInputMessage="1" showErrorMessage="1" sqref="F31" xr:uid="{C9DCAFDF-4C6F-4A61-A55A-3C094449B8F6}">
      <formula1>$E$73:$E$77</formula1>
    </dataValidation>
    <dataValidation type="list" allowBlank="1" showInputMessage="1" showErrorMessage="1" sqref="F30" xr:uid="{D09ACB05-3ADD-43FE-A80A-974241E8B6DD}">
      <formula1>$D$73:$D$75</formula1>
    </dataValidation>
    <dataValidation type="list" allowBlank="1" showInputMessage="1" showErrorMessage="1" sqref="F29" xr:uid="{8FEFA3D0-A4A9-4804-8867-2764146E96B3}">
      <formula1>$C$73:$C$76</formula1>
    </dataValidation>
    <dataValidation type="list" allowBlank="1" showInputMessage="1" showErrorMessage="1" sqref="F27" xr:uid="{1EDBC4F8-A946-4F05-8F1B-1C9518144D8E}">
      <formula1>$B$73:$B$77</formula1>
    </dataValidation>
    <dataValidation type="list" allowBlank="1" showInputMessage="1" showErrorMessage="1" sqref="F26" xr:uid="{4050F218-6489-43CD-AAA7-8AAC8AD44595}">
      <formula1>$A$73:$A$91</formula1>
    </dataValidation>
    <dataValidation type="list" allowBlank="1" showInputMessage="1" showErrorMessage="1" sqref="A56:D56" xr:uid="{E44B3F22-F9C7-495A-9238-A68C297C1FB6}">
      <formula1>$A$65:$A$69</formula1>
    </dataValidation>
  </dataValidations>
  <pageMargins left="0.19685039370078741" right="0.19685039370078741" top="0.27559055118110237" bottom="0.27559055118110237" header="0.31496062992125984" footer="0.19685039370078741"/>
  <pageSetup paperSize="9" orientation="portrait" horizontalDpi="360" verticalDpi="360" r:id="rId1"/>
  <headerFooter>
    <oddFooter>&amp;RDOH-CHD7-CL-Form-12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UA MF</vt:lpstr>
      <vt:lpstr>'UA MF'!Print_Area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2026-02-01T09:43:26Z</dcterms:created>
  <dcterms:modified xsi:type="dcterms:W3CDTF">2026-02-01T09:43:30Z</dcterms:modified>
</cp:coreProperties>
</file>