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338B4FB-D523-426B-9141-6559E6C259EE}" xr6:coauthVersionLast="47" xr6:coauthVersionMax="47" xr10:uidLastSave="{00000000-0000-0000-0000-000000000000}"/>
  <bookViews>
    <workbookView xWindow="-108" yWindow="-108" windowWidth="23256" windowHeight="12456" xr2:uid="{55BB3F70-417B-41B9-A3A2-297DE0092357}"/>
  </bookViews>
  <sheets>
    <sheet name="CHEM F (SI)" sheetId="1" r:id="rId1"/>
  </sheets>
  <definedNames>
    <definedName name="_xlnm.Print_Area" localSheetId="0">'CHEM F (SI)'!$A$1:$K$53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J45" i="1"/>
  <c r="D45" i="1"/>
  <c r="F45" i="1" s="1"/>
  <c r="J44" i="1"/>
  <c r="F44" i="1"/>
  <c r="D44" i="1"/>
  <c r="J43" i="1"/>
  <c r="D43" i="1"/>
  <c r="F43" i="1" s="1"/>
  <c r="H42" i="1"/>
  <c r="J42" i="1" s="1"/>
  <c r="D42" i="1"/>
  <c r="F42" i="1" s="1"/>
  <c r="J41" i="1"/>
  <c r="F41" i="1"/>
  <c r="D41" i="1"/>
  <c r="J40" i="1"/>
  <c r="D40" i="1"/>
  <c r="F40" i="1" s="1"/>
  <c r="J39" i="1"/>
  <c r="F39" i="1"/>
  <c r="D39" i="1"/>
  <c r="J38" i="1"/>
  <c r="F38" i="1"/>
  <c r="D38" i="1"/>
  <c r="J37" i="1"/>
  <c r="D37" i="1"/>
  <c r="F37" i="1" s="1"/>
  <c r="J36" i="1"/>
  <c r="D36" i="1"/>
  <c r="F36" i="1" s="1"/>
  <c r="J35" i="1"/>
  <c r="D35" i="1"/>
  <c r="F35" i="1" s="1"/>
  <c r="J34" i="1"/>
  <c r="D34" i="1"/>
  <c r="F34" i="1" s="1"/>
  <c r="J33" i="1"/>
  <c r="F33" i="1"/>
  <c r="D33" i="1"/>
  <c r="J32" i="1"/>
  <c r="D32" i="1"/>
  <c r="F32" i="1" s="1"/>
  <c r="J31" i="1"/>
  <c r="F31" i="1"/>
  <c r="D31" i="1"/>
  <c r="J30" i="1"/>
  <c r="F30" i="1"/>
  <c r="D30" i="1"/>
  <c r="J28" i="1"/>
  <c r="D28" i="1"/>
  <c r="F28" i="1" s="1"/>
  <c r="J27" i="1"/>
  <c r="D27" i="1"/>
  <c r="F27" i="1" s="1"/>
  <c r="F20" i="1"/>
  <c r="A20" i="1"/>
  <c r="D18" i="1"/>
  <c r="D12" i="1"/>
</calcChain>
</file>

<file path=xl/sharedStrings.xml><?xml version="1.0" encoding="utf-8"?>
<sst xmlns="http://schemas.openxmlformats.org/spreadsheetml/2006/main" count="139" uniqueCount="104">
  <si>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</si>
  <si>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</si>
  <si>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</si>
  <si>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</si>
  <si>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</si>
  <si>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</si>
  <si>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</si>
  <si>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</si>
  <si>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</si>
  <si>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</si>
  <si>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</si>
  <si>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</si>
  <si>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</si>
  <si>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</si>
  <si>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</si>
  <si>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CHEMISTRY</t>
  </si>
  <si>
    <t>TEST PARAMETER</t>
  </si>
  <si>
    <t>RESULT</t>
  </si>
  <si>
    <t>FLAG</t>
  </si>
  <si>
    <t>REFERENCE RANGE</t>
  </si>
  <si>
    <t>CONVENTIONAL UNIT</t>
  </si>
  <si>
    <t>SI UNIT</t>
  </si>
  <si>
    <t>Fasting Blood Sugar (FBS)</t>
  </si>
  <si>
    <t>mg/dL</t>
  </si>
  <si>
    <t>60.00-100.00</t>
  </si>
  <si>
    <t>mmol/L</t>
  </si>
  <si>
    <t>3.50-5.50</t>
  </si>
  <si>
    <t>Random Blood Sugar (RBS)</t>
  </si>
  <si>
    <t>&lt;200.00</t>
  </si>
  <si>
    <t>&lt;11.10</t>
  </si>
  <si>
    <t>LIPID PROFILE:</t>
  </si>
  <si>
    <t>Total Cholesterol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</si>
  <si>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200.77</t>
    </r>
  </si>
  <si>
    <t>£5.20</t>
  </si>
  <si>
    <t>HDL</t>
  </si>
  <si>
    <t>&gt;44.20</t>
  </si>
  <si>
    <t>&gt;1.15</t>
  </si>
  <si>
    <t>LDL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</si>
  <si>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99.60</t>
    </r>
  </si>
  <si>
    <t>£2.59</t>
  </si>
  <si>
    <t>VLDL</t>
  </si>
  <si>
    <t>1.90-30.76</t>
  </si>
  <si>
    <t>0.05-0.80</t>
  </si>
  <si>
    <t>Triglycerides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</si>
  <si>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203.54</t>
    </r>
  </si>
  <si>
    <t>£2.30</t>
  </si>
  <si>
    <t>Creatinine</t>
  </si>
  <si>
    <t>0.50-0.90</t>
  </si>
  <si>
    <t>µmol/L</t>
  </si>
  <si>
    <t>44.00-80.00</t>
  </si>
  <si>
    <t>Blood Urea Nitrogen (BUN)</t>
  </si>
  <si>
    <t>16.87-43.37</t>
  </si>
  <si>
    <t>2.80-7.20</t>
  </si>
  <si>
    <t>Blood Uric Acid (BUA)</t>
  </si>
  <si>
    <t>2.30-6.10</t>
  </si>
  <si>
    <t>137.00-363.00</t>
  </si>
  <si>
    <t>SGPT/ ALT</t>
  </si>
  <si>
    <t>U/L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</si>
  <si>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34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</si>
  <si>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34.00</t>
    </r>
  </si>
  <si>
    <t>SGOT/AST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</si>
  <si>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31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</si>
  <si>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31.00</t>
    </r>
  </si>
  <si>
    <t>Total Bilirubin</t>
  </si>
  <si>
    <t>0.10-1.20</t>
  </si>
  <si>
    <t>2.00-21.00</t>
  </si>
  <si>
    <t>Direct Bilirubin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</si>
  <si>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0.30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</si>
  <si>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5.13</t>
    </r>
  </si>
  <si>
    <t>Indirect Bilirubin</t>
  </si>
  <si>
    <t>0.20-1.20</t>
  </si>
  <si>
    <t>3.42-20.52</t>
  </si>
  <si>
    <t>GGT</t>
  </si>
  <si>
    <t>9.0-39.0</t>
  </si>
  <si>
    <t>9.00-39.00</t>
  </si>
  <si>
    <t>ALP</t>
  </si>
  <si>
    <t>30.00-120.00</t>
  </si>
  <si>
    <t>HbA1c</t>
  </si>
  <si>
    <t>%</t>
  </si>
  <si>
    <t>4.50-6.50</t>
  </si>
  <si>
    <t>mmol/mol</t>
  </si>
  <si>
    <t>25.67-47.53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</si>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</sst>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10"/>
      <color rgb="FF333333"/>
      <name val="Times New Roman"/>
      <family val="1"/>
    </font>
    <font>
      <sz val="11"/>
      <color theme="4"/>
      <name val="Calibri"/>
      <family val="2"/>
      <scheme val="minor"/>
    </font>
    <font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21" xfId="0" applyBorder="1"/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2" fontId="3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2" fontId="3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0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/>
    </xf>
    <xf numFmtId="0" fontId="5" fillId="0" borderId="27" xfId="0" applyFont="1" applyBorder="1" applyAlignment="1">
      <alignment vertical="center"/>
    </xf>
    <xf numFmtId="2" fontId="3" fillId="0" borderId="3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6" fillId="0" borderId="0" xfId="0" applyFont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0" fillId="0" borderId="0" xfId="0" applyAlignment="1">
      <alignment horizontal="left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/>
    <xf numFmtId="0" fontId="1" fillId="0" borderId="0" xfId="0" applyFont="1"/>
  </cellXfs>
  <cellStyles count="1">
    <cellStyle name="Normal" xfId="0" builtinId="0"/>
  </cellStyles>
  <dxfs count="82"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44B42422-84C6-4072-9507-ADA02399E043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7929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739140</xdr:colOff>
      <xdr:row>46</xdr:row>
      <xdr:rowOff>106680</xdr:rowOff>
    </xdr:from>
    <xdr:to>
      <xdr:col>11</xdr:col>
      <xdr:colOff>190500</xdr:colOff>
      <xdr:row>52</xdr:row>
      <xdr:rowOff>72984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EF642-B956-4F11-AB13-2F290C97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8740" y="8237220"/>
          <a:ext cx="230886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0</xdr:row>
      <xdr:rowOff>152400</xdr:rowOff>
    </xdr:from>
    <xdr:to>
      <xdr:col>10</xdr:col>
      <xdr:colOff>848542</xdr:colOff>
      <xdr:row>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5E91EB-664D-4973-A67C-B8CC0AC3E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240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1</xdr:row>
      <xdr:rowOff>0</xdr:rowOff>
    </xdr:from>
    <xdr:to>
      <xdr:col>1</xdr:col>
      <xdr:colOff>464400</xdr:colOff>
      <xdr:row>6</xdr:row>
      <xdr:rowOff>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18F54-0F1D-478B-9301-54B6D6C4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EB3E-C3AA-4600-AC8A-A2A19AF089EB}">
  <dimension ref="A1:K64"/>
  <sheetViews>
    <sheetView tabSelected="1" view="pageLayout" topLeftCell="A40" zoomScaleNormal="100" workbookViewId="0">
      <selection activeCell="A53" sqref="A53:D53"/>
    </sheetView>
  </sheetViews>
  <sheetFormatPr defaultRowHeight="14.4" x14ac:dyDescent="0.3"/>
  <cols>
    <col min="1" max="2" width="9" customWidth="1"/>
    <col min="3" max="3" width="4.77734375" customWidth="1"/>
    <col min="4" max="4" width="11.88671875" customWidth="1"/>
    <col min="5" max="5" width="6.109375" customWidth="1"/>
    <col min="6" max="6" width="6.33203125" customWidth="1"/>
    <col min="7" max="7" width="14.44140625" customWidth="1"/>
    <col min="8" max="8" width="11.88671875" customWidth="1"/>
    <col min="9" max="9" width="7.21875" customWidth="1"/>
    <col min="10" max="10" width="6.33203125" customWidth="1"/>
    <col min="11" max="11" width="14.33203125" customWidth="1"/>
    <col min="12" max="12" width="9.6640625" bestFit="1" customWidth="1"/>
    <col min="14" max="14" width="9.6640625" bestFit="1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4.2" customHeight="1" x14ac:dyDescent="0.3"/>
    <row r="9" spans="1:11" ht="14.1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2" customHeight="1" thickBot="1" x14ac:dyDescent="0.35"/>
    <row r="11" spans="1:1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>
        <f>A12</f>
        <v>0</v>
      </c>
      <c r="E12" s="14"/>
      <c r="F12" s="15"/>
      <c r="G12" s="16"/>
      <c r="H12" s="17"/>
      <c r="I12" s="17"/>
      <c r="J12" s="18">
        <v>0.33333333333333331</v>
      </c>
      <c r="K12" s="19"/>
    </row>
    <row r="13" spans="1:11" ht="4.9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3.4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4.9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0.54166666666666663</v>
      </c>
      <c r="I20" s="19"/>
      <c r="J20" s="30"/>
      <c r="K20" s="31"/>
    </row>
    <row r="21" spans="1:1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5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ht="12.6" customHeight="1" thickBot="1" x14ac:dyDescent="0.3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s="48" customFormat="1" ht="29.4" customHeight="1" thickBot="1" x14ac:dyDescent="0.35">
      <c r="A24" s="41" t="s">
        <v>16</v>
      </c>
      <c r="B24" s="42"/>
      <c r="C24" s="43"/>
      <c r="D24" s="44" t="s">
        <v>17</v>
      </c>
      <c r="E24" s="45"/>
      <c r="F24" s="46" t="s">
        <v>18</v>
      </c>
      <c r="G24" s="47" t="s">
        <v>19</v>
      </c>
      <c r="H24" s="44" t="s">
        <v>17</v>
      </c>
      <c r="I24" s="45"/>
      <c r="J24" s="46" t="s">
        <v>18</v>
      </c>
      <c r="K24" s="47" t="s">
        <v>19</v>
      </c>
    </row>
    <row r="25" spans="1:11" ht="15" thickBot="1" x14ac:dyDescent="0.35">
      <c r="A25" s="49"/>
      <c r="B25" s="50"/>
      <c r="C25" s="51"/>
      <c r="D25" s="52" t="s">
        <v>20</v>
      </c>
      <c r="E25" s="53"/>
      <c r="F25" s="54"/>
      <c r="G25" s="55"/>
      <c r="H25" s="52" t="s">
        <v>21</v>
      </c>
      <c r="I25" s="53"/>
      <c r="J25" s="54"/>
      <c r="K25" s="55"/>
    </row>
    <row r="26" spans="1:11" ht="7.2" customHeight="1" x14ac:dyDescent="0.3">
      <c r="A26" s="56"/>
      <c r="C26" s="57"/>
      <c r="F26" s="58"/>
      <c r="G26" s="59"/>
      <c r="J26" s="60"/>
      <c r="K26" s="3"/>
    </row>
    <row r="27" spans="1:11" x14ac:dyDescent="0.3">
      <c r="A27" s="61" t="s">
        <v>22</v>
      </c>
      <c r="B27" s="62"/>
      <c r="C27" s="63"/>
      <c r="D27" s="64">
        <f>H27/0.0554951033732318</f>
        <v>0</v>
      </c>
      <c r="E27" s="65" t="s">
        <v>23</v>
      </c>
      <c r="F27" s="66" t="str">
        <f>IF(D27&lt;60,"L",IF(D27&lt;=100,"",IF(D27&gt;100,"H")))</f>
        <v>L</v>
      </c>
      <c r="G27" s="67" t="s">
        <v>24</v>
      </c>
      <c r="H27" s="64"/>
      <c r="I27" s="65" t="s">
        <v>25</v>
      </c>
      <c r="J27" s="68" t="str">
        <f>IF(H27&lt;3.5,"L",IF(H27&lt;=5.5,"",IF(H27&gt;5.5,"H")))</f>
        <v>L</v>
      </c>
      <c r="K27" s="69" t="s">
        <v>26</v>
      </c>
    </row>
    <row r="28" spans="1:11" x14ac:dyDescent="0.3">
      <c r="A28" s="70" t="s">
        <v>27</v>
      </c>
      <c r="B28" s="71"/>
      <c r="C28" s="72"/>
      <c r="D28" s="73">
        <f>H28/0.0554951033732318</f>
        <v>0</v>
      </c>
      <c r="E28" s="74" t="s">
        <v>23</v>
      </c>
      <c r="F28" s="75" t="str">
        <f>IF(D28&lt;200,"",IF(D28&gt;=200,"H"))</f>
        <v/>
      </c>
      <c r="G28" s="76" t="s">
        <v>28</v>
      </c>
      <c r="H28" s="73"/>
      <c r="I28" s="74" t="s">
        <v>25</v>
      </c>
      <c r="J28" s="68" t="str">
        <f>IF(H28&lt;11.1,"",IF(H28&gt;=11.1,"H"))</f>
        <v/>
      </c>
      <c r="K28" s="77" t="s">
        <v>29</v>
      </c>
    </row>
    <row r="29" spans="1:11" x14ac:dyDescent="0.3">
      <c r="A29" s="78" t="s">
        <v>30</v>
      </c>
      <c r="B29" s="79"/>
      <c r="C29" s="80"/>
      <c r="D29" s="81"/>
      <c r="E29" s="82"/>
      <c r="F29" s="83"/>
      <c r="G29" s="84"/>
      <c r="H29" s="81"/>
      <c r="I29" s="82"/>
      <c r="J29" s="85"/>
      <c r="K29" s="86"/>
    </row>
    <row r="30" spans="1:11" x14ac:dyDescent="0.3">
      <c r="A30" s="87"/>
      <c r="B30" s="88" t="s">
        <v>31</v>
      </c>
      <c r="C30" s="63"/>
      <c r="D30" s="64">
        <f>H30/0.0259997360432889</f>
        <v>0</v>
      </c>
      <c r="E30" s="65" t="s">
        <v>23</v>
      </c>
      <c r="F30" s="66" t="str">
        <f>IF(D30&lt;0,"L",IF(D30&lt;=200.77,"",IF(D30&gt;200.77,"H")))</f>
        <v/>
      </c>
      <c r="G30" s="89" t="s">
        <v>32</v>
      </c>
      <c r="H30" s="64"/>
      <c r="I30" s="65" t="s">
        <v>25</v>
      </c>
      <c r="J30" s="68" t="str">
        <f>IF(H30&lt;0,"L",IF(H30&lt;=5.2,"",IF(H30&gt;5.2,"H")))</f>
        <v/>
      </c>
      <c r="K30" s="90" t="s">
        <v>33</v>
      </c>
    </row>
    <row r="31" spans="1:11" x14ac:dyDescent="0.3">
      <c r="A31" s="87"/>
      <c r="B31" s="91" t="s">
        <v>34</v>
      </c>
      <c r="C31" s="92"/>
      <c r="D31" s="73">
        <f>H31/0.0259997360432889</f>
        <v>0</v>
      </c>
      <c r="E31" s="74" t="s">
        <v>23</v>
      </c>
      <c r="F31" s="93" t="str">
        <f>IF(D31&lt;44.2,"L",IF(D31&gt;=44.2,""))</f>
        <v>L</v>
      </c>
      <c r="G31" s="76" t="s">
        <v>35</v>
      </c>
      <c r="H31" s="73"/>
      <c r="I31" s="74" t="s">
        <v>25</v>
      </c>
      <c r="J31" s="94" t="str">
        <f>IF(H31&lt;1.15,"L",IF(H31&gt;=1.15,""))</f>
        <v>L</v>
      </c>
      <c r="K31" s="77" t="s">
        <v>36</v>
      </c>
    </row>
    <row r="32" spans="1:11" x14ac:dyDescent="0.3">
      <c r="A32" s="56"/>
      <c r="B32" s="91" t="s">
        <v>37</v>
      </c>
      <c r="C32" s="92"/>
      <c r="D32" s="73">
        <f>H32/0.0259997360432889</f>
        <v>0</v>
      </c>
      <c r="E32" s="74" t="s">
        <v>23</v>
      </c>
      <c r="F32" s="95" t="str">
        <f>IF(D32&lt;0,"L",IF(D32&lt;=99.6,"",IF(D32&gt;99.6,"H")))</f>
        <v/>
      </c>
      <c r="G32" s="96" t="s">
        <v>38</v>
      </c>
      <c r="H32" s="73"/>
      <c r="I32" s="74" t="s">
        <v>25</v>
      </c>
      <c r="J32" s="97" t="str">
        <f>IF(H32&lt;0,"L",IF(H32&lt;=2.59,"",IF(H32&gt;2.59,"H")))</f>
        <v/>
      </c>
      <c r="K32" s="98" t="s">
        <v>39</v>
      </c>
    </row>
    <row r="33" spans="1:11" x14ac:dyDescent="0.3">
      <c r="A33" s="87"/>
      <c r="B33" s="91" t="s">
        <v>40</v>
      </c>
      <c r="C33" s="92"/>
      <c r="D33" s="73">
        <f>H33/0.0259997360432889</f>
        <v>0</v>
      </c>
      <c r="E33" s="74" t="s">
        <v>23</v>
      </c>
      <c r="F33" s="75" t="str">
        <f>IF(D33&lt;1.9,"L",IF(D33&lt;=30.76,"",IF(D33&gt;30.76,"H")))</f>
        <v>L</v>
      </c>
      <c r="G33" s="76" t="s">
        <v>41</v>
      </c>
      <c r="H33" s="73"/>
      <c r="I33" s="74" t="s">
        <v>25</v>
      </c>
      <c r="J33" s="99" t="str">
        <f>IF(H33&lt;0.05,"L",IF(H33&lt;=0.8,"",IF(H33&gt;0.8,"H")))</f>
        <v>L</v>
      </c>
      <c r="K33" s="77" t="s">
        <v>42</v>
      </c>
    </row>
    <row r="34" spans="1:11" x14ac:dyDescent="0.3">
      <c r="A34" s="87"/>
      <c r="B34" s="100" t="s">
        <v>43</v>
      </c>
      <c r="C34" s="72"/>
      <c r="D34" s="101">
        <f>H34/0.0112997464447139</f>
        <v>0</v>
      </c>
      <c r="E34" s="74" t="s">
        <v>23</v>
      </c>
      <c r="F34" s="95" t="str">
        <f>IF(D34&lt;0,"L",IF(D34&lt;=203.54,"",IF(D34&gt;203.54,"H")))</f>
        <v/>
      </c>
      <c r="G34" s="96" t="s">
        <v>44</v>
      </c>
      <c r="H34" s="101"/>
      <c r="I34" s="74" t="s">
        <v>25</v>
      </c>
      <c r="J34" s="97" t="str">
        <f>IF(H34&lt;0,H37,IF(H34&lt;=2.3,"",IF(H34&gt;2.3,"H")))</f>
        <v/>
      </c>
      <c r="K34" s="98" t="s">
        <v>45</v>
      </c>
    </row>
    <row r="35" spans="1:11" x14ac:dyDescent="0.3">
      <c r="A35" s="102" t="s">
        <v>46</v>
      </c>
      <c r="B35" s="103"/>
      <c r="C35" s="104"/>
      <c r="D35" s="73">
        <f>H35/88.8524590163934</f>
        <v>0</v>
      </c>
      <c r="E35" s="105" t="s">
        <v>23</v>
      </c>
      <c r="F35" s="106" t="str">
        <f>IF(D35&lt;0.5,"L",IF(D35&lt;=0.9,"",IF(D35&gt;0.9,"H")))</f>
        <v>L</v>
      </c>
      <c r="G35" s="67" t="s">
        <v>47</v>
      </c>
      <c r="H35" s="73"/>
      <c r="I35" s="105" t="s">
        <v>48</v>
      </c>
      <c r="J35" s="107" t="str">
        <f>IF(H35&lt;44,"L",IF(H35&lt;=80,"",IF(H35&gt;80,"H")))</f>
        <v>L</v>
      </c>
      <c r="K35" s="69" t="s">
        <v>49</v>
      </c>
    </row>
    <row r="36" spans="1:11" x14ac:dyDescent="0.3">
      <c r="A36" s="108" t="s">
        <v>50</v>
      </c>
      <c r="B36" s="91"/>
      <c r="C36" s="92"/>
      <c r="D36" s="73">
        <f>H36/0.165970375996961</f>
        <v>0</v>
      </c>
      <c r="E36" s="74" t="s">
        <v>23</v>
      </c>
      <c r="F36" s="93" t="str">
        <f>IF(D36&lt;16.87,"L",IF(D36&lt;=43.37,"",IF(D36&gt;43.37,"H")))</f>
        <v>L</v>
      </c>
      <c r="G36" s="76" t="s">
        <v>51</v>
      </c>
      <c r="H36" s="73"/>
      <c r="I36" s="74" t="s">
        <v>25</v>
      </c>
      <c r="J36" s="94" t="str">
        <f>IF(H36&lt;2.8,"L",IF(H36&lt;=7.2,"",IF(H36&gt;7.2,"H")))</f>
        <v>L</v>
      </c>
      <c r="K36" s="77" t="s">
        <v>52</v>
      </c>
    </row>
    <row r="37" spans="1:11" x14ac:dyDescent="0.3">
      <c r="A37" s="70" t="s">
        <v>53</v>
      </c>
      <c r="B37" s="71"/>
      <c r="C37" s="72"/>
      <c r="D37" s="73">
        <f>H37/59.5</f>
        <v>0</v>
      </c>
      <c r="E37" s="109" t="s">
        <v>23</v>
      </c>
      <c r="F37" s="75" t="str">
        <f>IF(D37&lt;2.3,"L",IF(D37&lt;=6.1,"",IF(D37&gt;6.1,"H")))</f>
        <v>L</v>
      </c>
      <c r="G37" s="76" t="s">
        <v>54</v>
      </c>
      <c r="H37" s="73"/>
      <c r="I37" s="109" t="s">
        <v>48</v>
      </c>
      <c r="J37" s="99" t="str">
        <f>IF(H37&lt;137,"L",IF(H37&lt;=363,"",IF(H37&gt;363,"H")))</f>
        <v>L</v>
      </c>
      <c r="K37" s="77" t="s">
        <v>55</v>
      </c>
    </row>
    <row r="38" spans="1:11" x14ac:dyDescent="0.3">
      <c r="A38" s="108" t="s">
        <v>56</v>
      </c>
      <c r="B38" s="91"/>
      <c r="C38" s="92"/>
      <c r="D38" s="73">
        <f>H38</f>
        <v>0</v>
      </c>
      <c r="E38" s="74" t="s">
        <v>57</v>
      </c>
      <c r="F38" s="94" t="str">
        <f>IF(D38&lt;0,"L",IF(D38&lt;=34,"",IF(D38&gt;34,"H")))</f>
        <v/>
      </c>
      <c r="G38" s="110" t="s">
        <v>58</v>
      </c>
      <c r="H38" s="73"/>
      <c r="I38" s="74" t="s">
        <v>57</v>
      </c>
      <c r="J38" s="94" t="str">
        <f>IF(H38&lt;0,"L",IF(H38&lt;=34,"",IF(H38&gt;34,"H")))</f>
        <v/>
      </c>
      <c r="K38" s="111" t="s">
        <v>59</v>
      </c>
    </row>
    <row r="39" spans="1:11" x14ac:dyDescent="0.3">
      <c r="A39" s="108" t="s">
        <v>60</v>
      </c>
      <c r="B39" s="91"/>
      <c r="C39" s="92"/>
      <c r="D39" s="73">
        <f>H39</f>
        <v>0</v>
      </c>
      <c r="E39" s="74" t="s">
        <v>57</v>
      </c>
      <c r="F39" s="94" t="str">
        <f>IF(D39&lt;0,"L",IF(D39&lt;=31,"",IF(D39&gt;31,"H")))</f>
        <v/>
      </c>
      <c r="G39" s="110" t="s">
        <v>61</v>
      </c>
      <c r="H39" s="73"/>
      <c r="I39" s="74" t="s">
        <v>57</v>
      </c>
      <c r="J39" s="94" t="str">
        <f>IF(H39&lt;0,"L",IF(H39&lt;=31,"",IF(H39&gt;31,"H")))</f>
        <v/>
      </c>
      <c r="K39" s="111" t="s">
        <v>62</v>
      </c>
    </row>
    <row r="40" spans="1:11" x14ac:dyDescent="0.3">
      <c r="A40" s="70" t="s">
        <v>63</v>
      </c>
      <c r="B40" s="100"/>
      <c r="C40" s="112"/>
      <c r="D40" s="73">
        <f>H40/17.1</f>
        <v>0</v>
      </c>
      <c r="E40" s="109" t="s">
        <v>23</v>
      </c>
      <c r="F40" s="75" t="str">
        <f>IF(D40&lt;0.1,"L",IF(D40&lt;=1.2,"",IF(D40&gt;1.2,"H")))</f>
        <v>L</v>
      </c>
      <c r="G40" s="76" t="s">
        <v>64</v>
      </c>
      <c r="H40" s="73"/>
      <c r="I40" s="109" t="s">
        <v>48</v>
      </c>
      <c r="J40" s="99" t="str">
        <f>IF(H40&lt;2,"L",IF(H40&lt;=21,"",IF(H40&gt;21,"H")))</f>
        <v>L</v>
      </c>
      <c r="K40" s="111" t="s">
        <v>65</v>
      </c>
    </row>
    <row r="41" spans="1:11" x14ac:dyDescent="0.3">
      <c r="A41" s="108" t="s">
        <v>66</v>
      </c>
      <c r="B41" s="91"/>
      <c r="C41" s="112"/>
      <c r="D41" s="73">
        <f>H41/17.1</f>
        <v>0</v>
      </c>
      <c r="E41" s="109" t="s">
        <v>23</v>
      </c>
      <c r="F41" s="95" t="str">
        <f>IF(D41&lt;0,"L",IF(D41&lt;=0.3,"",IF(D41&gt;0.3,"H")))</f>
        <v/>
      </c>
      <c r="G41" s="96" t="s">
        <v>67</v>
      </c>
      <c r="H41" s="73"/>
      <c r="I41" s="109" t="s">
        <v>48</v>
      </c>
      <c r="J41" s="97" t="str">
        <f>IF(H41&lt;0,"L",IF(H41&lt;=5.13,"",IF(H41&gt;5.13,"H")))</f>
        <v/>
      </c>
      <c r="K41" s="111" t="s">
        <v>68</v>
      </c>
    </row>
    <row r="42" spans="1:11" x14ac:dyDescent="0.3">
      <c r="A42" s="113" t="s">
        <v>69</v>
      </c>
      <c r="B42" s="114"/>
      <c r="C42" s="115"/>
      <c r="D42" s="73">
        <f>H42/17.1</f>
        <v>0</v>
      </c>
      <c r="E42" s="109" t="s">
        <v>23</v>
      </c>
      <c r="F42" s="93" t="str">
        <f>IF(D42&lt;0.2,"L",IF(D42&lt;=1.2,"",IF(D42&gt;1.2,"H")))</f>
        <v>L</v>
      </c>
      <c r="G42" s="76" t="s">
        <v>70</v>
      </c>
      <c r="H42" s="73">
        <f>H40-H41</f>
        <v>0</v>
      </c>
      <c r="I42" s="109" t="s">
        <v>48</v>
      </c>
      <c r="J42" s="94" t="str">
        <f>IF(H42&lt;3.42,"L",IF(H42&lt;=20.52,"",IF(H42&gt;20.52,"H")))</f>
        <v>L</v>
      </c>
      <c r="K42" s="111" t="s">
        <v>71</v>
      </c>
    </row>
    <row r="43" spans="1:11" x14ac:dyDescent="0.3">
      <c r="A43" s="70" t="s">
        <v>72</v>
      </c>
      <c r="B43" s="100"/>
      <c r="C43" s="116"/>
      <c r="D43" s="73">
        <f>H43</f>
        <v>0</v>
      </c>
      <c r="E43" s="74" t="s">
        <v>57</v>
      </c>
      <c r="F43" s="94" t="str">
        <f>IF(D43&lt;9,"L",IF(D43&lt;=39,"",IF(D43&gt;39,"H")))</f>
        <v>L</v>
      </c>
      <c r="G43" s="110" t="s">
        <v>73</v>
      </c>
      <c r="H43" s="73"/>
      <c r="I43" s="74" t="s">
        <v>57</v>
      </c>
      <c r="J43" s="94" t="str">
        <f>IF(H43&lt;9,"L",IF(H43&lt;=39,"",IF(H43&gt;39,"H")))</f>
        <v>L</v>
      </c>
      <c r="K43" s="111" t="s">
        <v>74</v>
      </c>
    </row>
    <row r="44" spans="1:11" x14ac:dyDescent="0.3">
      <c r="A44" s="117" t="s">
        <v>75</v>
      </c>
      <c r="B44" s="118"/>
      <c r="C44" s="119"/>
      <c r="D44" s="120">
        <f>H44</f>
        <v>0</v>
      </c>
      <c r="E44" s="121" t="s">
        <v>57</v>
      </c>
      <c r="F44" s="122" t="str">
        <f>IF(D44&lt;30,"L",IF(D44&lt;=120,"",IF(D44&gt;120,"H")))</f>
        <v>L</v>
      </c>
      <c r="G44" s="123" t="s">
        <v>76</v>
      </c>
      <c r="H44" s="120"/>
      <c r="I44" s="121" t="s">
        <v>57</v>
      </c>
      <c r="J44" s="122" t="str">
        <f>IF(H44&lt;30,"L",IF(H44&lt;=120,"",IF(H44&gt;120,"H")))</f>
        <v>L</v>
      </c>
      <c r="K44" s="124" t="s">
        <v>76</v>
      </c>
    </row>
    <row r="45" spans="1:11" x14ac:dyDescent="0.3">
      <c r="A45" s="117" t="s">
        <v>77</v>
      </c>
      <c r="B45" s="118"/>
      <c r="C45" s="119"/>
      <c r="D45" s="120">
        <f>(0.09148*H45)+2.152</f>
        <v>2.1520000000000001</v>
      </c>
      <c r="E45" s="121" t="s">
        <v>78</v>
      </c>
      <c r="F45" s="122" t="str">
        <f>IF(D45&lt;4.5,"L",IF(D45&lt;=6.5,"",IF(D45&gt;6.51,"H")))</f>
        <v>L</v>
      </c>
      <c r="G45" s="123" t="s">
        <v>79</v>
      </c>
      <c r="H45" s="120"/>
      <c r="I45" s="121" t="s">
        <v>80</v>
      </c>
      <c r="J45" s="122" t="str">
        <f>IF(H45&lt;25.67,"L",IF(H45&lt;=47.53,"",IF(H45&gt;47.53,"H")))</f>
        <v>L</v>
      </c>
      <c r="K45" s="124" t="s">
        <v>81</v>
      </c>
    </row>
    <row r="46" spans="1:11" ht="15" thickBot="1" x14ac:dyDescent="0.35">
      <c r="A46" s="125" t="s">
        <v>82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7"/>
    </row>
    <row r="47" spans="1:11" x14ac:dyDescent="0.3">
      <c r="A47" s="128" t="s">
        <v>83</v>
      </c>
      <c r="C47" s="129"/>
      <c r="D47" s="129"/>
      <c r="E47" s="129"/>
      <c r="F47" s="129"/>
      <c r="G47" s="129"/>
      <c r="H47" s="129"/>
      <c r="I47" s="129"/>
      <c r="J47" s="129"/>
      <c r="K47" s="129"/>
    </row>
    <row r="48" spans="1:11" ht="5.4" customHeight="1" x14ac:dyDescent="0.3"/>
    <row r="49" spans="1:11" x14ac:dyDescent="0.3">
      <c r="A49" s="130" t="s">
        <v>84</v>
      </c>
      <c r="E49" s="131" t="s">
        <v>85</v>
      </c>
      <c r="I49" s="131" t="s">
        <v>86</v>
      </c>
    </row>
    <row r="50" spans="1:11" x14ac:dyDescent="0.3">
      <c r="I50" s="132"/>
    </row>
    <row r="51" spans="1:11" x14ac:dyDescent="0.3">
      <c r="A51" s="133" t="s">
        <v>87</v>
      </c>
      <c r="B51" s="133"/>
      <c r="C51" s="133"/>
      <c r="D51" s="133"/>
      <c r="E51" s="133" t="s">
        <v>88</v>
      </c>
      <c r="F51" s="133"/>
      <c r="G51" s="133"/>
      <c r="H51" s="133"/>
      <c r="I51" s="134" t="s">
        <v>89</v>
      </c>
      <c r="J51" s="134"/>
      <c r="K51" s="134"/>
    </row>
    <row r="52" spans="1:11" x14ac:dyDescent="0.3">
      <c r="A52" s="135" t="s">
        <v>90</v>
      </c>
      <c r="B52" s="135"/>
      <c r="C52" s="135"/>
      <c r="D52" s="135"/>
      <c r="E52" s="136" t="s">
        <v>91</v>
      </c>
      <c r="F52" s="136"/>
      <c r="G52" s="136"/>
      <c r="H52" s="136"/>
      <c r="I52" s="136" t="s">
        <v>92</v>
      </c>
      <c r="J52" s="136"/>
      <c r="K52" s="136"/>
    </row>
    <row r="53" spans="1:11" x14ac:dyDescent="0.3">
      <c r="A53" s="136" t="str">
        <f>IF(A51=A60,"Lic. No. 0091946",IF(A51=A61,"Lic. No. 0068902",IF(A51=A62,"Lic. No. 0081395",IF(A51=A63,"Lic. No. 0054465",IF(A51=A64,"Lic. No. 0060939")))))</f>
        <v>Lic. No. 0068902</v>
      </c>
      <c r="B53" s="136"/>
      <c r="C53" s="136"/>
      <c r="D53" s="136"/>
      <c r="E53" s="136" t="s">
        <v>93</v>
      </c>
      <c r="F53" s="136"/>
      <c r="G53" s="136"/>
      <c r="H53" s="136"/>
      <c r="I53" s="136" t="s">
        <v>94</v>
      </c>
      <c r="J53" s="136"/>
      <c r="K53" s="136"/>
    </row>
    <row r="55" spans="1:11" x14ac:dyDescent="0.3">
      <c r="A55" s="137"/>
      <c r="B55" s="137"/>
      <c r="C55" s="137"/>
      <c r="D55" s="137"/>
    </row>
    <row r="56" spans="1:11" x14ac:dyDescent="0.3">
      <c r="C56" s="137"/>
      <c r="D56" s="137"/>
    </row>
    <row r="57" spans="1:11" ht="14.4" customHeight="1" x14ac:dyDescent="0.3">
      <c r="C57" s="137"/>
      <c r="D57" s="137"/>
    </row>
    <row r="60" spans="1:11" x14ac:dyDescent="0.3">
      <c r="A60" s="138" t="s">
        <v>95</v>
      </c>
      <c r="B60" s="138" t="s">
        <v>96</v>
      </c>
    </row>
    <row r="61" spans="1:11" x14ac:dyDescent="0.3">
      <c r="A61" s="139" t="s">
        <v>87</v>
      </c>
      <c r="B61" s="140" t="s">
        <v>97</v>
      </c>
    </row>
    <row r="62" spans="1:11" x14ac:dyDescent="0.3">
      <c r="A62" s="139" t="s">
        <v>98</v>
      </c>
      <c r="B62" s="140" t="s">
        <v>99</v>
      </c>
    </row>
    <row r="63" spans="1:11" x14ac:dyDescent="0.3">
      <c r="A63" t="s">
        <v>100</v>
      </c>
      <c r="B63" t="s">
        <v>101</v>
      </c>
    </row>
    <row r="64" spans="1:11" x14ac:dyDescent="0.3">
      <c r="A64" t="s">
        <v>102</v>
      </c>
      <c r="B64" t="s">
        <v>103</v>
      </c>
    </row>
  </sheetData>
  <mergeCells count="58">
    <mergeCell ref="A52:D52"/>
    <mergeCell ref="E52:H52"/>
    <mergeCell ref="I52:K52"/>
    <mergeCell ref="A53:D53"/>
    <mergeCell ref="E53:H53"/>
    <mergeCell ref="I53:K53"/>
    <mergeCell ref="A39:C39"/>
    <mergeCell ref="A41:B41"/>
    <mergeCell ref="A42:C42"/>
    <mergeCell ref="A46:K46"/>
    <mergeCell ref="C47:K47"/>
    <mergeCell ref="A51:D51"/>
    <mergeCell ref="E51:H51"/>
    <mergeCell ref="I51:K51"/>
    <mergeCell ref="B31:C31"/>
    <mergeCell ref="B32:C32"/>
    <mergeCell ref="B33:C33"/>
    <mergeCell ref="A35:C35"/>
    <mergeCell ref="A36:C36"/>
    <mergeCell ref="A38:C38"/>
    <mergeCell ref="A23:K23"/>
    <mergeCell ref="A24:C25"/>
    <mergeCell ref="D24:E24"/>
    <mergeCell ref="F24:F25"/>
    <mergeCell ref="G24:G25"/>
    <mergeCell ref="H24:I24"/>
    <mergeCell ref="J24:J25"/>
    <mergeCell ref="K24:K25"/>
    <mergeCell ref="D25:E25"/>
    <mergeCell ref="H25:I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 F28:F29">
    <cfRule type="containsText" dxfId="81" priority="82" operator="containsText" text="H">
      <formula>NOT(ISERROR(SEARCH("H",F26)))</formula>
    </cfRule>
  </conditionalFormatting>
  <conditionalFormatting sqref="F26:F27">
    <cfRule type="containsText" dxfId="80" priority="14" operator="containsText" text="H">
      <formula>NOT(ISERROR(SEARCH("H",F26)))</formula>
    </cfRule>
  </conditionalFormatting>
  <conditionalFormatting sqref="F27">
    <cfRule type="containsText" dxfId="79" priority="12" operator="containsText" text="H">
      <formula>NOT(ISERROR(SEARCH("H",F27)))</formula>
    </cfRule>
    <cfRule type="containsText" dxfId="78" priority="13" operator="containsText" text="L">
      <formula>NOT(ISERROR(SEARCH("L",F27)))</formula>
    </cfRule>
  </conditionalFormatting>
  <conditionalFormatting sqref="F28:F29 F26">
    <cfRule type="containsText" dxfId="77" priority="81" operator="containsText" text="L">
      <formula>NOT(ISERROR(SEARCH("L",F26)))</formula>
    </cfRule>
  </conditionalFormatting>
  <conditionalFormatting sqref="F28:F30">
    <cfRule type="containsText" dxfId="76" priority="70" operator="containsText" text="H">
      <formula>NOT(ISERROR(SEARCH("H",F28)))</formula>
    </cfRule>
  </conditionalFormatting>
  <conditionalFormatting sqref="F30">
    <cfRule type="containsText" dxfId="73" priority="67" operator="containsText" text="L">
      <formula>NOT(ISERROR(SEARCH("L",F30)))</formula>
    </cfRule>
    <cfRule type="containsText" dxfId="74" priority="68" operator="containsText" text="H">
      <formula>NOT(ISERROR(SEARCH("H",F30)))</formula>
    </cfRule>
    <cfRule type="containsText" dxfId="75" priority="69" operator="containsText" text="L">
      <formula>NOT(ISERROR(SEARCH("L",F30)))</formula>
    </cfRule>
  </conditionalFormatting>
  <conditionalFormatting sqref="F30:F33">
    <cfRule type="containsText" dxfId="72" priority="66" operator="containsText" text="H">
      <formula>NOT(ISERROR(SEARCH("H",F30)))</formula>
    </cfRule>
  </conditionalFormatting>
  <conditionalFormatting sqref="F31">
    <cfRule type="containsText" dxfId="71" priority="62" operator="containsText" text="H">
      <formula>NOT(ISERROR(SEARCH("H",F31)))</formula>
    </cfRule>
    <cfRule type="containsText" dxfId="68" priority="63" operator="containsText" text="L">
      <formula>NOT(ISERROR(SEARCH("L",F31)))</formula>
    </cfRule>
    <cfRule type="containsText" dxfId="69" priority="64" operator="containsText" text="H">
      <formula>NOT(ISERROR(SEARCH("H",F31)))</formula>
    </cfRule>
    <cfRule type="containsText" dxfId="70" priority="65" operator="containsText" text="L">
      <formula>NOT(ISERROR(SEARCH("L",F31)))</formula>
    </cfRule>
  </conditionalFormatting>
  <conditionalFormatting sqref="F32:F33 F35:F37 F41">
    <cfRule type="containsText" dxfId="66" priority="71" operator="containsText" text="L">
      <formula>NOT(ISERROR(SEARCH("L",F32)))</formula>
    </cfRule>
    <cfRule type="containsText" dxfId="67" priority="72" operator="containsText" text="H">
      <formula>NOT(ISERROR(SEARCH("H",F32)))</formula>
    </cfRule>
  </conditionalFormatting>
  <conditionalFormatting sqref="F34">
    <cfRule type="containsText" dxfId="63" priority="57" operator="containsText" text="H">
      <formula>NOT(ISERROR(SEARCH("H",F34)))</formula>
    </cfRule>
    <cfRule type="containsText" dxfId="64" priority="58" operator="containsText" text="L">
      <formula>NOT(ISERROR(SEARCH("L",F34)))</formula>
    </cfRule>
    <cfRule type="containsText" dxfId="65" priority="59" operator="containsText" text="H">
      <formula>NOT(ISERROR(SEARCH("H",F34)))</formula>
    </cfRule>
    <cfRule type="containsText" dxfId="62" priority="60" operator="containsText" text="L">
      <formula>NOT(ISERROR(SEARCH("L",F34)))</formula>
    </cfRule>
  </conditionalFormatting>
  <conditionalFormatting sqref="F34:F37">
    <cfRule type="containsText" dxfId="61" priority="61" operator="containsText" text="H">
      <formula>NOT(ISERROR(SEARCH("H",F34)))</formula>
    </cfRule>
  </conditionalFormatting>
  <conditionalFormatting sqref="F38:F39">
    <cfRule type="containsText" dxfId="57" priority="50" operator="containsText" text="H">
      <formula>NOT(ISERROR(SEARCH("H",F38)))</formula>
    </cfRule>
    <cfRule type="containsText" dxfId="58" priority="51" operator="containsText" text="L">
      <formula>NOT(ISERROR(SEARCH("L",F38)))</formula>
    </cfRule>
    <cfRule type="containsText" dxfId="60" priority="52" operator="containsText" text="H">
      <formula>NOT(ISERROR(SEARCH("H",F38)))</formula>
    </cfRule>
    <cfRule type="containsText" dxfId="59" priority="53" operator="containsText" text="L">
      <formula>NOT(ISERROR(SEARCH("L",F38)))</formula>
    </cfRule>
  </conditionalFormatting>
  <conditionalFormatting sqref="F38:F40">
    <cfRule type="containsText" dxfId="56" priority="54" operator="containsText" text="H">
      <formula>NOT(ISERROR(SEARCH("H",F38)))</formula>
    </cfRule>
  </conditionalFormatting>
  <conditionalFormatting sqref="F40">
    <cfRule type="containsText" dxfId="55" priority="55" operator="containsText" text="L">
      <formula>NOT(ISERROR(SEARCH("L",F40)))</formula>
    </cfRule>
  </conditionalFormatting>
  <conditionalFormatting sqref="F40:F41">
    <cfRule type="containsText" dxfId="54" priority="56" operator="containsText" text="H">
      <formula>NOT(ISERROR(SEARCH("H",F40)))</formula>
    </cfRule>
  </conditionalFormatting>
  <conditionalFormatting sqref="F42">
    <cfRule type="containsText" dxfId="53" priority="39" operator="containsText" text="H">
      <formula>NOT(ISERROR(SEARCH("H",F42)))</formula>
    </cfRule>
    <cfRule type="containsText" dxfId="52" priority="40" operator="containsText" text="L">
      <formula>NOT(ISERROR(SEARCH("L",F42)))</formula>
    </cfRule>
    <cfRule type="containsText" dxfId="51" priority="41" operator="containsText" text="H">
      <formula>NOT(ISERROR(SEARCH("H",F42)))</formula>
    </cfRule>
    <cfRule type="containsText" dxfId="50" priority="42" operator="containsText" text="L">
      <formula>NOT(ISERROR(SEARCH("L",F42)))</formula>
    </cfRule>
    <cfRule type="containsText" dxfId="49" priority="43" operator="containsText" text="H">
      <formula>NOT(ISERROR(SEARCH("H",F42)))</formula>
    </cfRule>
  </conditionalFormatting>
  <conditionalFormatting sqref="F43">
    <cfRule type="containsText" dxfId="48" priority="46" operator="containsText" text="L">
      <formula>NOT(ISERROR(SEARCH("L",F43)))</formula>
    </cfRule>
    <cfRule type="containsText" dxfId="47" priority="47" operator="containsText" text="H">
      <formula>NOT(ISERROR(SEARCH("H",F43)))</formula>
    </cfRule>
    <cfRule type="containsText" dxfId="46" priority="48" operator="containsText" text="L">
      <formula>NOT(ISERROR(SEARCH("L",F43)))</formula>
    </cfRule>
    <cfRule type="containsText" dxfId="45" priority="49" operator="containsText" text="H">
      <formula>NOT(ISERROR(SEARCH("H",F43)))</formula>
    </cfRule>
  </conditionalFormatting>
  <conditionalFormatting sqref="F43:F44">
    <cfRule type="containsText" dxfId="44" priority="45" operator="containsText" text="H">
      <formula>NOT(ISERROR(SEARCH("H",F43)))</formula>
    </cfRule>
  </conditionalFormatting>
  <conditionalFormatting sqref="F44">
    <cfRule type="containsText" dxfId="43" priority="44" operator="containsText" text="L">
      <formula>NOT(ISERROR(SEARCH("L",F44)))</formula>
    </cfRule>
  </conditionalFormatting>
  <conditionalFormatting sqref="F44:F45">
    <cfRule type="containsText" dxfId="42" priority="6" operator="containsText" text="H">
      <formula>NOT(ISERROR(SEARCH("H",F44)))</formula>
    </cfRule>
  </conditionalFormatting>
  <conditionalFormatting sqref="F45">
    <cfRule type="containsText" dxfId="41" priority="4" operator="containsText" text="H">
      <formula>NOT(ISERROR(SEARCH("H",F45)))</formula>
    </cfRule>
    <cfRule type="containsText" dxfId="40" priority="5" operator="containsText" text="L">
      <formula>NOT(ISERROR(SEARCH("L",F45)))</formula>
    </cfRule>
  </conditionalFormatting>
  <conditionalFormatting sqref="J27">
    <cfRule type="containsText" dxfId="39" priority="7" operator="containsText" text="H">
      <formula>NOT(ISERROR(SEARCH("H",J27)))</formula>
    </cfRule>
    <cfRule type="containsText" dxfId="38" priority="8" operator="containsText" text="L">
      <formula>NOT(ISERROR(SEARCH("L",J27)))</formula>
    </cfRule>
    <cfRule type="containsText" dxfId="37" priority="9" operator="containsText" text="H">
      <formula>NOT(ISERROR(SEARCH("H",J27)))</formula>
    </cfRule>
    <cfRule type="containsText" dxfId="36" priority="10" operator="containsText" text="L">
      <formula>NOT(ISERROR(SEARCH("L",J27)))</formula>
    </cfRule>
  </conditionalFormatting>
  <conditionalFormatting sqref="J27:J28">
    <cfRule type="containsText" dxfId="35" priority="11" operator="containsText" text="H">
      <formula>NOT(ISERROR(SEARCH("H",J27)))</formula>
    </cfRule>
  </conditionalFormatting>
  <conditionalFormatting sqref="J28">
    <cfRule type="containsText" dxfId="32" priority="73" operator="containsText" text="L">
      <formula>NOT(ISERROR(SEARCH("L",J28)))</formula>
    </cfRule>
    <cfRule type="containsText" dxfId="33" priority="74" operator="containsText" text="H">
      <formula>NOT(ISERROR(SEARCH("H",J28)))</formula>
    </cfRule>
    <cfRule type="containsText" dxfId="34" priority="75" operator="containsText" text="L">
      <formula>NOT(ISERROR(SEARCH("L",J28)))</formula>
    </cfRule>
  </conditionalFormatting>
  <conditionalFormatting sqref="J28:J29">
    <cfRule type="containsText" dxfId="31" priority="76" operator="containsText" text="H">
      <formula>NOT(ISERROR(SEARCH("H",J28)))</formula>
    </cfRule>
  </conditionalFormatting>
  <conditionalFormatting sqref="J29">
    <cfRule type="containsText" dxfId="29" priority="77" operator="containsText" text="L">
      <formula>NOT(ISERROR(SEARCH("L",J29)))</formula>
    </cfRule>
    <cfRule type="containsText" dxfId="30" priority="78" operator="containsText" text="H">
      <formula>NOT(ISERROR(SEARCH("H",J29)))</formula>
    </cfRule>
    <cfRule type="containsText" dxfId="28" priority="79" operator="containsText" text="L">
      <formula>NOT(ISERROR(SEARCH("L",J29)))</formula>
    </cfRule>
    <cfRule type="containsText" dxfId="27" priority="80" operator="containsText" text="H">
      <formula>NOT(ISERROR(SEARCH("H",J29)))</formula>
    </cfRule>
  </conditionalFormatting>
  <conditionalFormatting sqref="J30:J39">
    <cfRule type="containsText" dxfId="23" priority="31" operator="containsText" text="L">
      <formula>NOT(ISERROR(SEARCH("L",J30)))</formula>
    </cfRule>
    <cfRule type="containsText" dxfId="26" priority="32" operator="containsText" text="H">
      <formula>NOT(ISERROR(SEARCH("H",J30)))</formula>
    </cfRule>
    <cfRule type="containsText" dxfId="24" priority="33" operator="containsText" text="L">
      <formula>NOT(ISERROR(SEARCH("L",J30)))</formula>
    </cfRule>
    <cfRule type="containsText" dxfId="25" priority="34" operator="containsText" text="H">
      <formula>NOT(ISERROR(SEARCH("H",J30)))</formula>
    </cfRule>
  </conditionalFormatting>
  <conditionalFormatting sqref="J30:J41">
    <cfRule type="containsText" dxfId="22" priority="30" operator="containsText" text="H">
      <formula>NOT(ISERROR(SEARCH("H",J30)))</formula>
    </cfRule>
  </conditionalFormatting>
  <conditionalFormatting sqref="J40">
    <cfRule type="containsText" dxfId="20" priority="26" operator="containsText" text="H">
      <formula>NOT(ISERROR(SEARCH("H",J40)))</formula>
    </cfRule>
    <cfRule type="containsText" dxfId="21" priority="27" operator="containsText" text="L">
      <formula>NOT(ISERROR(SEARCH("L",J40)))</formula>
    </cfRule>
    <cfRule type="containsText" dxfId="18" priority="28" operator="containsText" text="H">
      <formula>NOT(ISERROR(SEARCH("H",J40)))</formula>
    </cfRule>
    <cfRule type="containsText" dxfId="19" priority="29" operator="containsText" text="L">
      <formula>NOT(ISERROR(SEARCH("L",J40)))</formula>
    </cfRule>
  </conditionalFormatting>
  <conditionalFormatting sqref="J41">
    <cfRule type="containsText" dxfId="17" priority="35" operator="containsText" text="L">
      <formula>NOT(ISERROR(SEARCH("L",J41)))</formula>
    </cfRule>
    <cfRule type="containsText" dxfId="16" priority="36" operator="containsText" text="H">
      <formula>NOT(ISERROR(SEARCH("H",J41)))</formula>
    </cfRule>
    <cfRule type="containsText" dxfId="15" priority="37" operator="containsText" text="L">
      <formula>NOT(ISERROR(SEARCH("L",J41)))</formula>
    </cfRule>
    <cfRule type="containsText" dxfId="14" priority="38" operator="containsText" text="H">
      <formula>NOT(ISERROR(SEARCH("H",J41)))</formula>
    </cfRule>
  </conditionalFormatting>
  <conditionalFormatting sqref="J42">
    <cfRule type="containsText" dxfId="9" priority="15" operator="containsText" text="H">
      <formula>NOT(ISERROR(SEARCH("H",J42)))</formula>
    </cfRule>
    <cfRule type="containsText" dxfId="10" priority="16" operator="containsText" text="L">
      <formula>NOT(ISERROR(SEARCH("L",J42)))</formula>
    </cfRule>
    <cfRule type="containsText" dxfId="12" priority="17" operator="containsText" text="H">
      <formula>NOT(ISERROR(SEARCH("H",J42)))</formula>
    </cfRule>
    <cfRule type="containsText" dxfId="11" priority="18" operator="containsText" text="L">
      <formula>NOT(ISERROR(SEARCH("L",J42)))</formula>
    </cfRule>
    <cfRule type="containsText" dxfId="13" priority="19" operator="containsText" text="H">
      <formula>NOT(ISERROR(SEARCH("H",J42)))</formula>
    </cfRule>
  </conditionalFormatting>
  <conditionalFormatting sqref="J43">
    <cfRule type="containsText" dxfId="5" priority="22" operator="containsText" text="L">
      <formula>NOT(ISERROR(SEARCH("L",J43)))</formula>
    </cfRule>
    <cfRule type="containsText" dxfId="6" priority="23" operator="containsText" text="H">
      <formula>NOT(ISERROR(SEARCH("H",J43)))</formula>
    </cfRule>
    <cfRule type="containsText" dxfId="7" priority="24" operator="containsText" text="L">
      <formula>NOT(ISERROR(SEARCH("L",J43)))</formula>
    </cfRule>
    <cfRule type="containsText" dxfId="8" priority="25" operator="containsText" text="H">
      <formula>NOT(ISERROR(SEARCH("H",J43)))</formula>
    </cfRule>
  </conditionalFormatting>
  <conditionalFormatting sqref="J43:J44">
    <cfRule type="containsText" dxfId="4" priority="21" operator="containsText" text="H">
      <formula>NOT(ISERROR(SEARCH("H",J43)))</formula>
    </cfRule>
  </conditionalFormatting>
  <conditionalFormatting sqref="J44">
    <cfRule type="containsText" dxfId="3" priority="20" operator="containsText" text="L">
      <formula>NOT(ISERROR(SEARCH("L",J44)))</formula>
    </cfRule>
  </conditionalFormatting>
  <conditionalFormatting sqref="J44:J45">
    <cfRule type="containsText" dxfId="2" priority="3" operator="containsText" text="H">
      <formula>NOT(ISERROR(SEARCH("H",J44)))</formula>
    </cfRule>
  </conditionalFormatting>
  <conditionalFormatting sqref="J45">
    <cfRule type="containsText" dxfId="1" priority="1" operator="containsText" text="H">
      <formula>NOT(ISERROR(SEARCH("H",J45)))</formula>
    </cfRule>
    <cfRule type="containsText" dxfId="0" priority="2" operator="containsText" text="L">
      <formula>NOT(ISERROR(SEARCH("L",J45)))</formula>
    </cfRule>
  </conditionalFormatting>
  <dataValidations count="1">
    <dataValidation type="list" allowBlank="1" showInputMessage="1" showErrorMessage="1" sqref="A51:D51" xr:uid="{FB8FEAC1-D6A4-4A3C-88DE-493EB92C4528}">
      <formula1>$A$60:$A$64</formula1>
    </dataValidation>
  </dataValidations>
  <pageMargins left="0.23622047244094488" right="0.23622047244094488" top="0.74803149606299213" bottom="0.74803149606299213" header="0.31496062992125984" footer="0.31496062992125984"/>
  <pageSetup paperSize="9" orientation="portrait" horizontalDpi="360" verticalDpi="360" r:id="rId1"/>
  <headerFooter>
    <oddFooter>&amp;RDOH-CHD7-CL-Form-9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 F (SI)</vt:lpstr>
      <vt:lpstr>'CHEM F (SI)'!Print_Area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2026-02-01T09:03:36Z</dcterms:created>
  <dcterms:modified xsi:type="dcterms:W3CDTF">2026-02-01T09:03:43Z</dcterms:modified>
</cp:coreProperties>
</file>