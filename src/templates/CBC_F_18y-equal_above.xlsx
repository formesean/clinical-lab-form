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61A125CD-6CE8-4E86-885F-090FC874E243}" xr6:coauthVersionLast="47" xr6:coauthVersionMax="47" xr10:uidLastSave="{00000000-0000-0000-0000-000000000000}"/>
  <bookViews>
    <workbookView xWindow="-108" yWindow="-108" windowWidth="23256" windowHeight="12456" xr2:uid="{790A7B9E-EBC1-4E91-B6D2-B8FD59E49B7C}"/>
  </bookViews>
  <sheets>
    <sheet name="CBC F (&gt;=18y)" sheetId="1" r:id="rId1"/>
  </sheets>
  <definedNames>
    <definedName name="_xlnm.Print_Area" localSheetId="0">'CBC F (&gt;=18y)'!$A$1:$K$55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F20" i="1"/>
  <c r="A20" i="1"/>
  <c r="D18" i="1"/>
</calcChain>
</file>

<file path=xl/sharedStrings.xml><?xml version="1.0" encoding="utf-8"?>
<sst xmlns="http://schemas.openxmlformats.org/spreadsheetml/2006/main" count="117" uniqueCount="91">
  <si>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</si>
  <si>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</si>
  <si>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</si>
  <si>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</si>
  <si>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</si>
  <si>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</si>
  <si>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</si>
  <si>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>Date of Birth:</t>
    </r>
    <r>
      <rPr>
        <i/>
        <sz val="10"/>
        <color theme="1"/>
        <rFont val="Times New Roman"/>
        <family val="1"/>
      </rPr>
      <t xml:space="preserve"> 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</si>
  <si>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</si>
  <si>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</si>
  <si>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</si>
  <si>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</si>
  <si>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</si>
  <si>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</si>
  <si>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</si>
  <si>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</si>
  <si>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</si>
  <si>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</si>
  <si>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</si>
  <si>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</si>
  <si>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</si>
  <si>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</si>
  <si>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</si>
  <si>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</si>
  <si>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</si>
  <si>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4.0 - 11.0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</si>
  <si>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</si>
  <si>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</si>
  <si>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4.5 - 5.1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</si>
  <si>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</si>
  <si>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</si>
  <si>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12.3 - 15.3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</si>
  <si>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</si>
  <si>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</si>
  <si>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35.9 - 44.6</t>
  </si>
  <si>
    <t xml:space="preserve">        MCV</t>
  </si>
  <si>
    <t>fL</t>
  </si>
  <si>
    <t>80.0 - 96.0</t>
  </si>
  <si>
    <t xml:space="preserve">        MCH</t>
  </si>
  <si>
    <t>pg</t>
  </si>
  <si>
    <t>27.5 - 33.2</t>
  </si>
  <si>
    <t xml:space="preserve">        MCHC</t>
  </si>
  <si>
    <t>33.4 - 35.5</t>
  </si>
  <si>
    <t xml:space="preserve">        RDW</t>
  </si>
  <si>
    <t>11.5 - 14.5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</si>
  <si>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</si>
  <si>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</si>
  <si>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150.0 - 400.0</t>
  </si>
  <si>
    <t xml:space="preserve">     MPV</t>
  </si>
  <si>
    <t>8.0 - 12.0</t>
  </si>
  <si>
    <t>RELATIVE COUNT</t>
  </si>
  <si>
    <t>ABSOLUTE COUNT</t>
  </si>
  <si>
    <t>WBC DIFFERENTIAL COUNT</t>
  </si>
  <si>
    <t xml:space="preserve">       Neutrophil</t>
  </si>
  <si>
    <t>44.0 - 68.0</t>
  </si>
  <si>
    <t>1.6 - 6.1</t>
  </si>
  <si>
    <t xml:space="preserve">       Lymphocyte</t>
  </si>
  <si>
    <t>20.0 - 40.0</t>
  </si>
  <si>
    <t>1.2 - 3.9</t>
  </si>
  <si>
    <t xml:space="preserve">       Monocyte</t>
  </si>
  <si>
    <t>2.0 - 10.0</t>
  </si>
  <si>
    <t>0.3 - 0.9</t>
  </si>
  <si>
    <t xml:space="preserve">       Eosinophil</t>
  </si>
  <si>
    <t>1.0 - 6.0</t>
  </si>
  <si>
    <t>0.0 - 0.5</t>
  </si>
  <si>
    <t xml:space="preserve">       Basophil</t>
  </si>
  <si>
    <t>0.0 - 1.0</t>
  </si>
  <si>
    <t>0.0 - 0.1</t>
  </si>
  <si>
    <t xml:space="preserve">       Immature Granulocyte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</si>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</sst>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332D83FE-2DBE-40E6-9E62-452DBB2AA586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B722F36C-2928-4D34-AE85-FF540AEAD3B1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5C7A29-A873-49BF-9AFB-2B7CCB989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251460</xdr:colOff>
      <xdr:row>0</xdr:row>
      <xdr:rowOff>167640</xdr:rowOff>
    </xdr:from>
    <xdr:to>
      <xdr:col>10</xdr:col>
      <xdr:colOff>703762</xdr:colOff>
      <xdr:row>5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0E26C3-8597-46A0-A700-AF35AD45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16764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0</xdr:row>
      <xdr:rowOff>175260</xdr:rowOff>
    </xdr:from>
    <xdr:to>
      <xdr:col>1</xdr:col>
      <xdr:colOff>472020</xdr:colOff>
      <xdr:row>5</xdr:row>
      <xdr:rowOff>182460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6DC88-C45F-476F-AC6F-509C13938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7526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5848-AF1A-475A-8F9C-F0F7B3E8380F}">
  <dimension ref="A1:K135"/>
  <sheetViews>
    <sheetView tabSelected="1" view="pageLayout" topLeftCell="A40" zoomScaleNormal="100" workbookViewId="0">
      <selection activeCell="A53" sqref="A53:D53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IF(D26&lt;4,"L",IF(D26&lt;=11,"",IF(D26&gt;11,"H")))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IF(D27&lt;4.5,"L",IF(D27&lt;=5.1,"",IF(D27&gt;5.1,"H")))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IF(D28&lt;12.3,"L",IF(D28&lt;=15.3,"",IF(D28&gt;15.3,"H")))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IF(D29&lt;35.9,"L",IF(D29&lt;=44.6,"",IF(D29&gt;44.6,"H")))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IF(D30&lt;80,"L",IF(D30&lt;=96,"",IF(D30&gt;96,"H")))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IF(D31&lt;27.5,"L",IF(D31&lt;=33.2,"",IF(D31&gt;33.2,"H")))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IF(D32&lt;33.4,"L",IF(D32&lt;=35.5,"",IF(D32&gt;35.5,"H")))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IF(D33&lt;11.5,"L",IF(D33&lt;=14.5,"",IF(D33&gt;14.5,"H")))</f>
        <v>L</v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IF(D36&lt;150,"L",IF(D36&lt;=400,"",IF(D36&gt;400,"H")))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IF(D37&lt;8,"L",IF(D37&lt;=12,"",IF(D37&gt;12,"H")))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IF(D42&lt;44,"L",IF(D42&lt;=68,"",IF(D42&gt;=68,"H")))</f>
        <v>L</v>
      </c>
      <c r="G42" s="81" t="s">
        <v>54</v>
      </c>
      <c r="H42" s="80"/>
      <c r="I42" s="82" t="s">
        <v>24</v>
      </c>
      <c r="J42" s="51" t="str">
        <f>IF(H42&lt;1.6,"L",IF(H42&lt;=6.1,"",IF(H42&gt;6.1,"H")))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IF(D43&lt;20,"L",IF(D43&lt;=40,"",IF(D43&gt;40,"H")))</f>
        <v>L</v>
      </c>
      <c r="G43" s="81" t="s">
        <v>57</v>
      </c>
      <c r="H43" s="80"/>
      <c r="I43" s="82" t="s">
        <v>24</v>
      </c>
      <c r="J43" s="51" t="str">
        <f>IF(H43&lt;1.2,"L",IF(H43&lt;=3.9,"",IF(H43&gt;3.9,"H")))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IF(D44&lt;2,"L",IF(D44&lt;=10,"",IF(D44&gt;10,"H")))</f>
        <v>L</v>
      </c>
      <c r="G44" s="84" t="s">
        <v>60</v>
      </c>
      <c r="H44" s="80"/>
      <c r="I44" s="82" t="s">
        <v>24</v>
      </c>
      <c r="J44" s="51" t="str">
        <f>IF(H44&lt;0.3,"L",IF(H44&lt;=0.9,"",IF(H44&gt;0.9,"H")))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IF(D45&lt;1,"L",IF(D45&lt;=6,"",IF(D45&gt;6,"H")))</f>
        <v>L</v>
      </c>
      <c r="G45" s="48" t="s">
        <v>63</v>
      </c>
      <c r="H45" s="80"/>
      <c r="I45" s="82" t="s">
        <v>24</v>
      </c>
      <c r="J45" s="51" t="str">
        <f>IF(H45&lt;0,"L",IF(H45&lt;=0.5,"",IF(H45&gt;0.5,"H")))</f>
        <v/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IF(H47&lt;0,"L",IF(H47&lt;=0.1,"",IF(H47&gt;0.1,"H")))</f>
        <v/>
      </c>
      <c r="K47" s="83" t="s">
        <v>67</v>
      </c>
    </row>
    <row r="48" spans="1:11" s="41" customFormat="1" ht="11.25" customHeight="1" thickBot="1" x14ac:dyDescent="0.35">
      <c r="A48" s="86" t="s">
        <v>69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70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71</v>
      </c>
      <c r="E51" s="92" t="s">
        <v>72</v>
      </c>
      <c r="I51" s="92" t="s">
        <v>73</v>
      </c>
    </row>
    <row r="52" spans="1:11" x14ac:dyDescent="0.3">
      <c r="I52" s="93"/>
    </row>
    <row r="53" spans="1:11" x14ac:dyDescent="0.3">
      <c r="A53" s="94" t="s">
        <v>74</v>
      </c>
      <c r="B53" s="94"/>
      <c r="C53" s="94"/>
      <c r="D53" s="94"/>
      <c r="E53" s="94" t="s">
        <v>75</v>
      </c>
      <c r="F53" s="94"/>
      <c r="G53" s="94"/>
      <c r="H53" s="94"/>
      <c r="I53" s="95" t="s">
        <v>76</v>
      </c>
      <c r="J53" s="95"/>
      <c r="K53" s="95"/>
    </row>
    <row r="54" spans="1:11" x14ac:dyDescent="0.3">
      <c r="A54" s="96" t="s">
        <v>77</v>
      </c>
      <c r="B54" s="96"/>
      <c r="C54" s="96"/>
      <c r="D54" s="96"/>
      <c r="E54" s="97" t="s">
        <v>78</v>
      </c>
      <c r="F54" s="97"/>
      <c r="G54" s="97"/>
      <c r="H54" s="97"/>
      <c r="I54" s="97" t="s">
        <v>79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80</v>
      </c>
      <c r="F55" s="97"/>
      <c r="G55" s="97"/>
      <c r="H55" s="97"/>
      <c r="I55" s="97" t="s">
        <v>81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82</v>
      </c>
      <c r="B62" s="99" t="s">
        <v>83</v>
      </c>
    </row>
    <row r="63" spans="1:11" x14ac:dyDescent="0.3">
      <c r="A63" s="100" t="s">
        <v>74</v>
      </c>
      <c r="B63" s="101" t="s">
        <v>84</v>
      </c>
    </row>
    <row r="64" spans="1:11" x14ac:dyDescent="0.3">
      <c r="A64" s="100" t="s">
        <v>85</v>
      </c>
      <c r="B64" s="101" t="s">
        <v>86</v>
      </c>
    </row>
    <row r="65" spans="1:2" x14ac:dyDescent="0.3">
      <c r="A65" t="s">
        <v>87</v>
      </c>
      <c r="B65" t="s">
        <v>88</v>
      </c>
    </row>
    <row r="66" spans="1:2" x14ac:dyDescent="0.3">
      <c r="A66" t="s">
        <v>89</v>
      </c>
      <c r="B66" t="s">
        <v>90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F6B6200D-D36E-4C55-878F-80B92ACC763E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F (&gt;=18y)</vt:lpstr>
      <vt:lpstr>'CBC F (&gt;=18y)'!Print_Area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2026-02-01T09:40:20Z</dcterms:created>
  <dcterms:modified xsi:type="dcterms:W3CDTF">2026-02-01T09:40:29Z</dcterms:modified>
</cp:coreProperties>
</file>