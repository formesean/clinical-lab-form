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2E9D6310-AB82-45A8-A9A8-C77FF3C6AA26}" xr6:coauthVersionLast="47" xr6:coauthVersionMax="47" xr10:uidLastSave="{00000000-0000-0000-0000-000000000000}"/>
  <bookViews>
    <workbookView xWindow="-108" yWindow="-108" windowWidth="23256" windowHeight="12456" xr2:uid="{94D32D20-CC1F-4BE5-B6AD-32F7E44B096E}"/>
  </bookViews>
  <sheets>
    <sheet name="CHEM F (Conv.)" sheetId="1" r:id="rId1"/>
  </sheets>
  <definedNames>
    <definedName name="_xlnm.Print_Area" localSheetId="0">'CHEM F (Conv.)'!$A$1:$K$53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3" i="1" l="1"/>
  <c r="J45" i="1"/>
  <c r="H45" i="1"/>
  <c r="F45" i="1"/>
  <c r="H44" i="1"/>
  <c r="J44" i="1" s="1"/>
  <c r="F44" i="1"/>
  <c r="H43" i="1"/>
  <c r="J43" i="1" s="1"/>
  <c r="F43" i="1"/>
  <c r="H42" i="1"/>
  <c r="J42" i="1" s="1"/>
  <c r="J41" i="1"/>
  <c r="H41" i="1"/>
  <c r="F41" i="1"/>
  <c r="J40" i="1"/>
  <c r="H40" i="1"/>
  <c r="F40" i="1"/>
  <c r="H39" i="1"/>
  <c r="J39" i="1" s="1"/>
  <c r="F39" i="1"/>
  <c r="H38" i="1"/>
  <c r="J38" i="1" s="1"/>
  <c r="F38" i="1"/>
  <c r="H37" i="1"/>
  <c r="J37" i="1" s="1"/>
  <c r="F37" i="1"/>
  <c r="H36" i="1"/>
  <c r="J36" i="1" s="1"/>
  <c r="F36" i="1"/>
  <c r="H35" i="1"/>
  <c r="J35" i="1" s="1"/>
  <c r="F35" i="1"/>
  <c r="H34" i="1"/>
  <c r="J34" i="1" s="1"/>
  <c r="F34" i="1"/>
  <c r="H33" i="1"/>
  <c r="J33" i="1" s="1"/>
  <c r="F33" i="1"/>
  <c r="H32" i="1"/>
  <c r="J32" i="1" s="1"/>
  <c r="F32" i="1"/>
  <c r="H31" i="1"/>
  <c r="J31" i="1" s="1"/>
  <c r="F31" i="1"/>
  <c r="J30" i="1"/>
  <c r="H30" i="1"/>
  <c r="F30" i="1"/>
  <c r="H28" i="1"/>
  <c r="J28" i="1" s="1"/>
  <c r="F28" i="1"/>
  <c r="H27" i="1"/>
  <c r="J27" i="1" s="1"/>
  <c r="F27" i="1"/>
  <c r="A20" i="1"/>
  <c r="F20" i="1" s="1"/>
  <c r="D18" i="1"/>
  <c r="D12" i="1"/>
  <c r="D42" i="1" l="1"/>
  <c r="F42" i="1" s="1"/>
</calcChain>
</file>

<file path=xl/sharedStrings.xml><?xml version="1.0" encoding="utf-8"?>
<sst xmlns="http://schemas.openxmlformats.org/spreadsheetml/2006/main" count="139" uniqueCount="104">
  <si>
    <t xml:space="preserve">LABORATORY TEST RESULTS </t>
  </si>
  <si>
    <t>Laboratory ID No.:</t>
  </si>
  <si>
    <t>Patient ID No.:</t>
  </si>
  <si>
    <r>
      <t>Date &amp; Time of Requisition:</t>
    </r>
    <r>
      <rPr>
        <sz val="9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</si>
  <si>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t>Patient's Last Name</t>
  </si>
  <si>
    <t>Patient's First Name</t>
  </si>
  <si>
    <t>Patient's Middle Name</t>
  </si>
  <si>
    <r>
      <t>Date of Birth:</t>
    </r>
    <r>
      <rPr>
        <i/>
        <sz val="10"/>
        <color theme="1"/>
        <rFont val="Times New Roman"/>
        <family val="1"/>
      </rPr>
      <t xml:space="preserve"> dd/mmm/yyyy</t>
    </r>
  </si>
  <si>
    <t>Age:</t>
  </si>
  <si>
    <t>Sex:</t>
  </si>
  <si>
    <t>Name of Requesting Phyisician:</t>
  </si>
  <si>
    <t>FEMALE</t>
  </si>
  <si>
    <r>
      <t>Date &amp; Time Performed:</t>
    </r>
    <r>
      <rPr>
        <i/>
        <sz val="11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</si>
  <si>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r>
      <t>Date &amp; Time Released:</t>
    </r>
    <r>
      <rPr>
        <i/>
        <sz val="11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</si>
  <si>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t>Location:</t>
  </si>
  <si>
    <t>CLINICAL CHEMISTRY</t>
  </si>
  <si>
    <t>TEST PARAMETER</t>
  </si>
  <si>
    <t>RESULT</t>
  </si>
  <si>
    <t>FLAG</t>
  </si>
  <si>
    <t>REFERENCE RANGE</t>
  </si>
  <si>
    <t>CONVENTIONAL UNIT</t>
  </si>
  <si>
    <t>SI UNIT</t>
  </si>
  <si>
    <t>Fasting Blood Sugar (FBS)</t>
  </si>
  <si>
    <t>mg/dL</t>
  </si>
  <si>
    <t>60.00-100.00</t>
  </si>
  <si>
    <t>mmol/L</t>
  </si>
  <si>
    <t>3.50-5.50</t>
  </si>
  <si>
    <t>Random Blood Sugar (RBS)</t>
  </si>
  <si>
    <t>&lt;200.00</t>
  </si>
  <si>
    <t>&lt;11.10</t>
  </si>
  <si>
    <t>LIPID PROFILE:</t>
  </si>
  <si>
    <t>Total Cholesterol</t>
  </si>
  <si>
    <r>
      <rPr>
        <sz val="10"/>
        <color theme="1"/>
        <rFont val="Calibri"/>
        <family val="2"/>
      </rPr>
      <t>≤</t>
    </r>
    <r>
      <rPr>
        <sz val="10"/>
        <color theme="1"/>
        <rFont val="Times New Roman"/>
        <family val="1"/>
      </rPr>
      <t>200.77</t>
    </r>
  </si>
  <si>
    <t>£5.20</t>
  </si>
  <si>
    <t>HDL</t>
  </si>
  <si>
    <t>&gt;44.20</t>
  </si>
  <si>
    <t>&gt;1.15</t>
  </si>
  <si>
    <t>LDL</t>
  </si>
  <si>
    <r>
      <rPr>
        <sz val="10"/>
        <color theme="1"/>
        <rFont val="Calibri"/>
        <family val="2"/>
      </rPr>
      <t>≤</t>
    </r>
    <r>
      <rPr>
        <sz val="10"/>
        <color theme="1"/>
        <rFont val="Times New Roman"/>
        <family val="1"/>
      </rPr>
      <t>99.60</t>
    </r>
  </si>
  <si>
    <t>£2.59</t>
  </si>
  <si>
    <t>VLDL</t>
  </si>
  <si>
    <t>1.90-30.76</t>
  </si>
  <si>
    <t>0.05-0.80</t>
  </si>
  <si>
    <t>Triglycerides</t>
  </si>
  <si>
    <r>
      <rPr>
        <sz val="10"/>
        <color theme="1"/>
        <rFont val="Calibri"/>
        <family val="2"/>
      </rPr>
      <t>≤</t>
    </r>
    <r>
      <rPr>
        <sz val="10"/>
        <color theme="1"/>
        <rFont val="Times New Roman"/>
        <family val="1"/>
      </rPr>
      <t>203.54</t>
    </r>
  </si>
  <si>
    <t>£2.30</t>
  </si>
  <si>
    <t>Creatinine</t>
  </si>
  <si>
    <t>0.50-0.90</t>
  </si>
  <si>
    <t>µmol/L</t>
  </si>
  <si>
    <t>44.00-80.00</t>
  </si>
  <si>
    <t>Blood Urea Nitrogen (BUN)</t>
  </si>
  <si>
    <t>16.87-43.37</t>
  </si>
  <si>
    <t>2.80-7.20</t>
  </si>
  <si>
    <t>Blood Uric Acid (BUA)</t>
  </si>
  <si>
    <t>2.30-6.10</t>
  </si>
  <si>
    <t>137.00-363.00</t>
  </si>
  <si>
    <t>SGPT/ ALT</t>
  </si>
  <si>
    <t>U/L</t>
  </si>
  <si>
    <r>
      <rPr>
        <sz val="10"/>
        <color theme="1"/>
        <rFont val="Symbol"/>
        <family val="1"/>
        <charset val="2"/>
      </rPr>
      <t>£</t>
    </r>
    <r>
      <rPr>
        <sz val="10"/>
        <color theme="1"/>
        <rFont val="Times New Roman"/>
        <family val="1"/>
      </rPr>
      <t>34</t>
    </r>
  </si>
  <si>
    <r>
      <rPr>
        <sz val="10"/>
        <color theme="1"/>
        <rFont val="Symbol"/>
        <family val="1"/>
        <charset val="2"/>
      </rPr>
      <t>£</t>
    </r>
    <r>
      <rPr>
        <sz val="10"/>
        <color theme="1"/>
        <rFont val="Times New Roman"/>
        <family val="1"/>
      </rPr>
      <t>34.00</t>
    </r>
  </si>
  <si>
    <t>SGOT/AST</t>
  </si>
  <si>
    <r>
      <rPr>
        <sz val="10"/>
        <color theme="1"/>
        <rFont val="Symbol"/>
        <family val="1"/>
        <charset val="2"/>
      </rPr>
      <t>£</t>
    </r>
    <r>
      <rPr>
        <sz val="10"/>
        <color theme="1"/>
        <rFont val="Times New Roman"/>
        <family val="1"/>
      </rPr>
      <t>31</t>
    </r>
  </si>
  <si>
    <r>
      <rPr>
        <sz val="10"/>
        <color theme="1"/>
        <rFont val="Symbol"/>
        <family val="1"/>
        <charset val="2"/>
      </rPr>
      <t>£</t>
    </r>
    <r>
      <rPr>
        <sz val="10"/>
        <color theme="1"/>
        <rFont val="Times New Roman"/>
        <family val="1"/>
      </rPr>
      <t>31.00</t>
    </r>
  </si>
  <si>
    <t>Total Bilirubin</t>
  </si>
  <si>
    <t>0.10-1.20</t>
  </si>
  <si>
    <t>2.00-21.00</t>
  </si>
  <si>
    <t>Direct Bilirubin</t>
  </si>
  <si>
    <r>
      <rPr>
        <sz val="10"/>
        <color theme="1"/>
        <rFont val="Calibri"/>
        <family val="2"/>
      </rPr>
      <t>≤</t>
    </r>
    <r>
      <rPr>
        <sz val="10"/>
        <color theme="1"/>
        <rFont val="Times New Roman"/>
        <family val="1"/>
      </rPr>
      <t>0.30</t>
    </r>
  </si>
  <si>
    <r>
      <rPr>
        <sz val="10"/>
        <color theme="1"/>
        <rFont val="Symbol"/>
        <family val="1"/>
        <charset val="2"/>
      </rPr>
      <t>£</t>
    </r>
    <r>
      <rPr>
        <sz val="10"/>
        <color theme="1"/>
        <rFont val="Times New Roman"/>
        <family val="1"/>
      </rPr>
      <t>5.13</t>
    </r>
  </si>
  <si>
    <t>Indirect Bilirubin</t>
  </si>
  <si>
    <t>0.20-1.20</t>
  </si>
  <si>
    <t>3.42-20.52</t>
  </si>
  <si>
    <t>GGT</t>
  </si>
  <si>
    <t>9.0-39.0</t>
  </si>
  <si>
    <t>9.00-39.00</t>
  </si>
  <si>
    <t>ALP</t>
  </si>
  <si>
    <t>30.00-120.00</t>
  </si>
  <si>
    <t>HbA1c</t>
  </si>
  <si>
    <t>%</t>
  </si>
  <si>
    <t>4.50-6.50</t>
  </si>
  <si>
    <t>mmol/mol</t>
  </si>
  <si>
    <t>25.67-47.53</t>
  </si>
  <si>
    <t>This is an electronically generated result. Please correlate the results clinically.</t>
  </si>
  <si>
    <t xml:space="preserve">REMARKS: </t>
  </si>
  <si>
    <t>Performed:</t>
  </si>
  <si>
    <t>Verified:</t>
  </si>
  <si>
    <t>Approved:</t>
  </si>
  <si>
    <t>PHILL JUSTIN G. GALAROZA, RMT</t>
  </si>
  <si>
    <t>ROLDAN A. CUBILLO, RMT, MPH, MMHoA</t>
  </si>
  <si>
    <t>ALMA E. MALILONG, MD, FPSP</t>
  </si>
  <si>
    <t>Medical Technologist</t>
  </si>
  <si>
    <t>Chief Medical Technologist</t>
  </si>
  <si>
    <t>Pathologist</t>
  </si>
  <si>
    <t>Lic. No. 0032751</t>
  </si>
  <si>
    <t>Lic. No. 0045935</t>
  </si>
  <si>
    <t>RICO JAMES R. GARGAR, RMT</t>
  </si>
  <si>
    <t>Lic. No. 0091946</t>
  </si>
  <si>
    <t>Lic. No. 0068902</t>
  </si>
  <si>
    <t>RAMON BRYAN A. ABELLA, RMT</t>
  </si>
  <si>
    <t>Lic. No. 0081395</t>
  </si>
  <si>
    <t>LEYSAM C. BANTILO, RMT</t>
  </si>
  <si>
    <t>Lic. No. 0054465</t>
  </si>
  <si>
    <t>RHIAN JESS E. CANILLAS, RMT</t>
  </si>
  <si>
    <t>Lic. No. 0060939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</si>
</sst>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2"/>
      <color theme="1"/>
      <name val="Calibri"/>
      <family val="2"/>
      <scheme val="minor"/>
    </font>
    <font>
      <i/>
      <sz val="10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6"/>
      <name val="Times New Roman"/>
      <family val="1"/>
    </font>
    <font>
      <sz val="1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name val="Times New Roman"/>
      <family val="1"/>
    </font>
    <font>
      <b/>
      <sz val="10"/>
      <color theme="1"/>
      <name val="Calibri"/>
      <family val="2"/>
      <scheme val="minor"/>
    </font>
    <font>
      <b/>
      <u/>
      <sz val="10"/>
      <color theme="1"/>
      <name val="Times New Roman"/>
      <family val="1"/>
    </font>
    <font>
      <sz val="11"/>
      <color rgb="FF0000FF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2"/>
    </font>
    <font>
      <sz val="10"/>
      <color theme="1"/>
      <name val="Calibri"/>
      <family val="2"/>
    </font>
    <font>
      <sz val="10"/>
      <color theme="1"/>
      <name val="Symbol"/>
      <family val="1"/>
      <charset val="2"/>
    </font>
    <font>
      <sz val="10"/>
      <color rgb="FF333333"/>
      <name val="Times New Roman"/>
      <family val="1"/>
    </font>
    <font>
      <sz val="11"/>
      <color theme="4"/>
      <name val="Calibri"/>
      <family val="2"/>
      <scheme val="minor"/>
    </font>
    <font>
      <i/>
      <sz val="7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Times New Roman"/>
      <family val="1"/>
    </font>
    <font>
      <b/>
      <u/>
      <sz val="9"/>
      <color theme="1"/>
      <name val="Times New Roman"/>
      <family val="1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8" fontId="3" fillId="0" borderId="7" xfId="0" applyNumberFormat="1" applyFont="1" applyBorder="1" applyAlignment="1">
      <alignment horizontal="center"/>
    </xf>
    <xf numFmtId="18" fontId="3" fillId="0" borderId="8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0" xfId="0" applyFont="1"/>
    <xf numFmtId="0" fontId="9" fillId="0" borderId="14" xfId="0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0" fontId="10" fillId="0" borderId="1" xfId="0" applyFont="1" applyBorder="1"/>
    <xf numFmtId="0" fontId="10" fillId="0" borderId="0" xfId="0" applyFont="1"/>
    <xf numFmtId="0" fontId="3" fillId="0" borderId="6" xfId="0" applyFont="1" applyBorder="1" applyAlignment="1">
      <alignment horizontal="center" shrinkToFit="1"/>
    </xf>
    <xf numFmtId="0" fontId="0" fillId="0" borderId="8" xfId="0" applyBorder="1" applyAlignment="1">
      <alignment horizontal="center" shrinkToFit="1"/>
    </xf>
    <xf numFmtId="0" fontId="12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2" fontId="16" fillId="0" borderId="18" xfId="0" applyNumberFormat="1" applyFont="1" applyBorder="1" applyAlignment="1">
      <alignment horizontal="center" vertical="center"/>
    </xf>
    <xf numFmtId="2" fontId="16" fillId="0" borderId="16" xfId="0" applyNumberFormat="1" applyFont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vertical="center"/>
    </xf>
    <xf numFmtId="0" fontId="0" fillId="0" borderId="20" xfId="0" applyBorder="1"/>
    <xf numFmtId="0" fontId="0" fillId="0" borderId="0" xfId="0" applyAlignment="1">
      <alignment horizontal="center"/>
    </xf>
    <xf numFmtId="0" fontId="0" fillId="0" borderId="21" xfId="0" applyBorder="1"/>
    <xf numFmtId="0" fontId="5" fillId="0" borderId="0" xfId="0" applyFont="1" applyAlignment="1">
      <alignment horizontal="center" vertical="center" wrapText="1"/>
    </xf>
    <xf numFmtId="0" fontId="5" fillId="0" borderId="22" xfId="0" applyFont="1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2" fontId="3" fillId="0" borderId="23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2" fontId="3" fillId="0" borderId="27" xfId="0" applyNumberFormat="1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9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0" fillId="0" borderId="20" xfId="0" applyBorder="1" applyAlignment="1">
      <alignment vertical="center"/>
    </xf>
    <xf numFmtId="2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20" fillId="0" borderId="24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5" fillId="0" borderId="27" xfId="0" applyFont="1" applyBorder="1" applyAlignment="1">
      <alignment horizontal="left" vertical="center"/>
    </xf>
    <xf numFmtId="0" fontId="5" fillId="0" borderId="28" xfId="0" applyFont="1" applyBorder="1" applyAlignment="1">
      <alignment horizontal="left" vertical="center"/>
    </xf>
    <xf numFmtId="0" fontId="0" fillId="0" borderId="27" xfId="0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2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/>
    </xf>
    <xf numFmtId="0" fontId="22" fillId="0" borderId="29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/>
    </xf>
    <xf numFmtId="0" fontId="5" fillId="0" borderId="27" xfId="0" applyFont="1" applyBorder="1" applyAlignment="1">
      <alignment vertical="center"/>
    </xf>
    <xf numFmtId="2" fontId="3" fillId="0" borderId="30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23" fillId="0" borderId="23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/>
    </xf>
    <xf numFmtId="0" fontId="5" fillId="0" borderId="26" xfId="0" applyFont="1" applyBorder="1" applyAlignment="1">
      <alignment horizontal="left" vertical="center"/>
    </xf>
    <xf numFmtId="0" fontId="23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left" vertical="center"/>
    </xf>
    <xf numFmtId="0" fontId="5" fillId="0" borderId="26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2" fontId="3" fillId="0" borderId="10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6" fillId="0" borderId="0" xfId="0" applyFont="1" applyAlignment="1">
      <alignment vertical="center"/>
    </xf>
    <xf numFmtId="0" fontId="27" fillId="0" borderId="2" xfId="0" applyFont="1" applyBorder="1" applyAlignment="1">
      <alignment horizontal="left" vertical="center"/>
    </xf>
    <xf numFmtId="0" fontId="28" fillId="0" borderId="0" xfId="0" applyFont="1" applyAlignment="1">
      <alignment vertical="center"/>
    </xf>
    <xf numFmtId="0" fontId="28" fillId="0" borderId="0" xfId="0" applyFont="1"/>
    <xf numFmtId="0" fontId="0" fillId="0" borderId="0" xfId="0" applyAlignment="1">
      <alignment horizontal="left"/>
    </xf>
    <xf numFmtId="0" fontId="29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30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31" fillId="0" borderId="0" xfId="0" applyFont="1"/>
    <xf numFmtId="0" fontId="1" fillId="0" borderId="0" xfId="0" applyFont="1"/>
  </cellXfs>
  <cellStyles count="1">
    <cellStyle name="Normal" xfId="0" builtinId="0"/>
  </cellStyles>
  <dxfs count="84">
    <dxf>
      <font>
        <color theme="8"/>
      </font>
    </dxf>
    <dxf>
      <font>
        <color rgb="FF9C0006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rgb="FF9C0006"/>
      </font>
    </dxf>
    <dxf>
      <font>
        <color theme="8"/>
      </font>
    </dxf>
    <dxf>
      <font>
        <color theme="8"/>
      </font>
    </dxf>
    <dxf>
      <font>
        <color rgb="FF9C0006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rgb="FF9C0006"/>
      </font>
    </dxf>
    <dxf>
      <font>
        <color theme="8"/>
      </font>
    </dxf>
    <dxf>
      <font>
        <color theme="8"/>
      </font>
    </dxf>
    <dxf>
      <font>
        <color rgb="FF9C0006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theme="8"/>
      </font>
    </dxf>
    <dxf>
      <font>
        <color theme="8"/>
      </font>
    </dxf>
    <dxf>
      <font>
        <color theme="8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theme="8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rgb="FF9C0006"/>
      </font>
    </dxf>
    <dxf>
      <font>
        <color theme="8"/>
      </font>
    </dxf>
    <dxf>
      <font>
        <color theme="8"/>
      </font>
    </dxf>
    <dxf>
      <font>
        <color rgb="FF9C0006"/>
      </font>
    </dxf>
    <dxf>
      <font>
        <color rgb="FF9C0006"/>
      </font>
    </dxf>
    <dxf>
      <font>
        <color theme="8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502920</xdr:colOff>
      <xdr:row>0</xdr:row>
      <xdr:rowOff>53340</xdr:rowOff>
    </xdr:from>
    <xdr:to>
      <xdr:col>9</xdr:col>
      <xdr:colOff>152400</xdr:colOff>
      <xdr:row>6</xdr:row>
      <xdr:rowOff>144060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18A6D443-DC7A-47BD-A7AA-5038E0790F16}"/>
            </a:ext>
          </a:extLst>
        </xdr:cNvPr>
        <xdr:cNvSpPr txBox="1">
          <a:spLocks noChangeArrowheads="1"/>
        </xdr:cNvSpPr>
      </xdr:nvSpPr>
      <xdr:spPr bwMode="auto">
        <a:xfrm>
          <a:off x="1150620" y="53340"/>
          <a:ext cx="4792980" cy="11880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635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0" rIns="9144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Republic of the Philippines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Department of Health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CENTRAL VISAYAS CENTER FOR HEALTH DEVELOPMENT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DOH - Central Visayas Clinical Laboratory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Osmeña Boulevard, Sambag II, Cebu City, Cebu, Philippines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License To Operate: 07-116-26-CL-1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Issued: 01 January 2026; Valid Until: 31 December 2026</a:t>
          </a:r>
        </a:p>
      </xdr:txBody>
    </xdr:sp>
    <xdr:clientData/>
  </xdr:twoCellAnchor>
  <xdr:twoCellAnchor editAs="oneCell">
    <xdr:from>
      <xdr:col>7</xdr:col>
      <xdr:colOff>731520</xdr:colOff>
      <xdr:row>46</xdr:row>
      <xdr:rowOff>121920</xdr:rowOff>
    </xdr:from>
    <xdr:to>
      <xdr:col>11</xdr:col>
      <xdr:colOff>182880</xdr:colOff>
      <xdr:row>52</xdr:row>
      <xdr:rowOff>50124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8E421D-45AC-4B24-A59C-04070F848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151120" y="8199120"/>
          <a:ext cx="2308860" cy="949284"/>
        </a:xfrm>
        <a:prstGeom prst="rect">
          <a:avLst/>
        </a:prstGeom>
      </xdr:spPr>
    </xdr:pic>
    <xdr:clientData/>
  </xdr:twoCellAnchor>
  <xdr:twoCellAnchor editAs="oneCell">
    <xdr:from>
      <xdr:col>9</xdr:col>
      <xdr:colOff>266700</xdr:colOff>
      <xdr:row>0</xdr:row>
      <xdr:rowOff>144780</xdr:rowOff>
    </xdr:from>
    <xdr:to>
      <xdr:col>10</xdr:col>
      <xdr:colOff>772342</xdr:colOff>
      <xdr:row>5</xdr:row>
      <xdr:rowOff>144780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C142EF7-C80D-436D-B044-67252F4B3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57900" y="144780"/>
          <a:ext cx="962842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182880</xdr:colOff>
      <xdr:row>1</xdr:row>
      <xdr:rowOff>0</xdr:rowOff>
    </xdr:from>
    <xdr:to>
      <xdr:col>1</xdr:col>
      <xdr:colOff>472020</xdr:colOff>
      <xdr:row>6</xdr:row>
      <xdr:rowOff>7200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0E9430C-B5A1-40B9-BAD5-300B75C2C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" y="182880"/>
          <a:ext cx="936840" cy="92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9BD0-81CC-442F-B483-3E7986859FBA}">
  <dimension ref="A1:K64"/>
  <sheetViews>
    <sheetView tabSelected="1" view="pageLayout" topLeftCell="A40" zoomScaleNormal="100" workbookViewId="0">
      <selection activeCell="A54" sqref="A54"/>
    </sheetView>
  </sheetViews>
  <sheetFormatPr defaultRowHeight="14.4" x14ac:dyDescent="0.3"/>
  <cols>
    <col min="1" max="2" width="9" customWidth="1"/>
    <col min="3" max="3" width="4.77734375" customWidth="1"/>
    <col min="4" max="4" width="11.88671875" customWidth="1"/>
    <col min="5" max="5" width="6.109375" customWidth="1"/>
    <col min="6" max="6" width="6.33203125" customWidth="1"/>
    <col min="7" max="7" width="14.44140625" customWidth="1"/>
    <col min="8" max="8" width="11.88671875" customWidth="1"/>
    <col min="9" max="9" width="7.21875" customWidth="1"/>
    <col min="10" max="10" width="6.33203125" customWidth="1"/>
    <col min="11" max="11" width="14.33203125" customWidth="1"/>
    <col min="12" max="12" width="9.6640625" bestFit="1" customWidth="1"/>
    <col min="14" max="14" width="9.6640625" bestFit="1" customWidth="1"/>
  </cols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K2" s="5"/>
    </row>
    <row r="3" spans="1:11" x14ac:dyDescent="0.3">
      <c r="A3" s="4"/>
      <c r="K3" s="5"/>
    </row>
    <row r="4" spans="1:11" x14ac:dyDescent="0.3">
      <c r="A4" s="4"/>
      <c r="K4" s="5"/>
    </row>
    <row r="5" spans="1:11" x14ac:dyDescent="0.3">
      <c r="A5" s="4"/>
      <c r="K5" s="5"/>
    </row>
    <row r="6" spans="1:11" x14ac:dyDescent="0.3">
      <c r="A6" s="4"/>
      <c r="K6" s="5"/>
    </row>
    <row r="7" spans="1:11" ht="13.95" customHeight="1" thickBot="1" x14ac:dyDescent="0.35">
      <c r="A7" s="6"/>
      <c r="B7" s="7"/>
      <c r="C7" s="7"/>
      <c r="D7" s="7"/>
      <c r="E7" s="7"/>
      <c r="F7" s="7"/>
      <c r="G7" s="7"/>
      <c r="H7" s="7"/>
      <c r="I7" s="7"/>
      <c r="J7" s="7"/>
      <c r="K7" s="8"/>
    </row>
    <row r="8" spans="1:11" ht="4.2" customHeight="1" x14ac:dyDescent="0.3"/>
    <row r="9" spans="1:11" ht="14.1" customHeight="1" x14ac:dyDescent="0.3">
      <c r="A9" s="9" t="s">
        <v>0</v>
      </c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ht="4.2" customHeight="1" thickBot="1" x14ac:dyDescent="0.35"/>
    <row r="11" spans="1:11" x14ac:dyDescent="0.3">
      <c r="A11" s="10" t="s">
        <v>1</v>
      </c>
      <c r="B11" s="11"/>
      <c r="C11" s="12"/>
      <c r="D11" s="10" t="s">
        <v>2</v>
      </c>
      <c r="E11" s="11"/>
      <c r="F11" s="12"/>
      <c r="G11" s="10" t="s">
        <v>3</v>
      </c>
      <c r="H11" s="11"/>
      <c r="I11" s="11"/>
      <c r="J11" s="11"/>
      <c r="K11" s="12"/>
    </row>
    <row r="12" spans="1:11" ht="15" thickBot="1" x14ac:dyDescent="0.35">
      <c r="A12" s="13"/>
      <c r="B12" s="14"/>
      <c r="C12" s="15"/>
      <c r="D12" s="13">
        <f>A12</f>
        <v>0</v>
      </c>
      <c r="E12" s="14"/>
      <c r="F12" s="15"/>
      <c r="G12" s="16"/>
      <c r="H12" s="17"/>
      <c r="I12" s="17"/>
      <c r="J12" s="18">
        <v>0.33333333333333331</v>
      </c>
      <c r="K12" s="19"/>
    </row>
    <row r="13" spans="1:11" ht="4.95" customHeight="1" x14ac:dyDescent="0.3">
      <c r="A13" s="1"/>
      <c r="B13" s="2"/>
      <c r="C13" s="2"/>
      <c r="D13" s="2"/>
      <c r="E13" s="2"/>
      <c r="F13" s="2"/>
      <c r="G13" s="2"/>
      <c r="H13" s="2"/>
      <c r="I13" s="2"/>
      <c r="J13" s="2"/>
      <c r="K13" s="3"/>
    </row>
    <row r="14" spans="1:11" ht="21" customHeight="1" x14ac:dyDescent="0.3">
      <c r="A14" s="20"/>
      <c r="B14" s="21"/>
      <c r="C14" s="21"/>
      <c r="E14" s="21"/>
      <c r="F14" s="21"/>
      <c r="G14" s="21"/>
      <c r="I14" s="21"/>
      <c r="J14" s="21"/>
      <c r="K14" s="22"/>
    </row>
    <row r="15" spans="1:11" x14ac:dyDescent="0.3">
      <c r="A15" s="23" t="s">
        <v>4</v>
      </c>
      <c r="B15" s="24"/>
      <c r="C15" s="24"/>
      <c r="D15" s="25"/>
      <c r="E15" s="24" t="s">
        <v>5</v>
      </c>
      <c r="F15" s="24"/>
      <c r="G15" s="24"/>
      <c r="H15" s="25"/>
      <c r="I15" s="24" t="s">
        <v>6</v>
      </c>
      <c r="J15" s="24"/>
      <c r="K15" s="26"/>
    </row>
    <row r="16" spans="1:11" ht="4.95" customHeight="1" thickBot="1" x14ac:dyDescent="0.35">
      <c r="A16" s="6"/>
      <c r="B16" s="7"/>
      <c r="C16" s="7"/>
      <c r="D16" s="7"/>
      <c r="E16" s="7"/>
      <c r="F16" s="7"/>
      <c r="G16" s="7"/>
      <c r="H16" s="7"/>
      <c r="I16" s="7"/>
      <c r="J16" s="7"/>
      <c r="K16" s="8"/>
    </row>
    <row r="17" spans="1:11" x14ac:dyDescent="0.3">
      <c r="A17" s="10" t="s">
        <v>7</v>
      </c>
      <c r="B17" s="11"/>
      <c r="C17" s="12"/>
      <c r="D17" s="10" t="s">
        <v>8</v>
      </c>
      <c r="E17" s="12"/>
      <c r="F17" s="10" t="s">
        <v>9</v>
      </c>
      <c r="G17" s="12"/>
      <c r="H17" s="10" t="s">
        <v>10</v>
      </c>
      <c r="I17" s="11"/>
      <c r="J17" s="11"/>
      <c r="K17" s="12"/>
    </row>
    <row r="18" spans="1:11" ht="15" thickBot="1" x14ac:dyDescent="0.35">
      <c r="A18" s="16"/>
      <c r="B18" s="17"/>
      <c r="C18" s="27"/>
      <c r="D18" s="13">
        <f ca="1">INT((TODAY()-A18)/365.25)</f>
        <v>126</v>
      </c>
      <c r="E18" s="15"/>
      <c r="F18" s="13" t="s">
        <v>11</v>
      </c>
      <c r="G18" s="15"/>
      <c r="H18" s="13"/>
      <c r="I18" s="14"/>
      <c r="J18" s="14"/>
      <c r="K18" s="15"/>
    </row>
    <row r="19" spans="1:11" x14ac:dyDescent="0.3">
      <c r="A19" s="28" t="s">
        <v>12</v>
      </c>
      <c r="B19" s="2"/>
      <c r="C19" s="2"/>
      <c r="D19" s="2"/>
      <c r="E19" s="3"/>
      <c r="F19" s="29" t="s">
        <v>13</v>
      </c>
      <c r="J19" s="28" t="s">
        <v>14</v>
      </c>
      <c r="K19" s="3"/>
    </row>
    <row r="20" spans="1:11" ht="15" thickBot="1" x14ac:dyDescent="0.35">
      <c r="A20" s="16">
        <f>G12</f>
        <v>0</v>
      </c>
      <c r="B20" s="17"/>
      <c r="C20" s="17"/>
      <c r="D20" s="18">
        <v>0.375</v>
      </c>
      <c r="E20" s="19"/>
      <c r="F20" s="16">
        <f>A20</f>
        <v>0</v>
      </c>
      <c r="G20" s="17"/>
      <c r="H20" s="18">
        <v>0.54166666666666663</v>
      </c>
      <c r="I20" s="19"/>
      <c r="J20" s="30"/>
      <c r="K20" s="31"/>
    </row>
    <row r="21" spans="1:11" x14ac:dyDescent="0.3">
      <c r="A21" s="32" t="s">
        <v>15</v>
      </c>
      <c r="B21" s="33"/>
      <c r="C21" s="33"/>
      <c r="D21" s="33"/>
      <c r="E21" s="33"/>
      <c r="F21" s="33"/>
      <c r="G21" s="33"/>
      <c r="H21" s="33"/>
      <c r="I21" s="33"/>
      <c r="J21" s="33"/>
      <c r="K21" s="34"/>
    </row>
    <row r="22" spans="1:11" ht="15" thickBot="1" x14ac:dyDescent="0.3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7"/>
    </row>
    <row r="23" spans="1:11" ht="12.6" customHeight="1" thickBot="1" x14ac:dyDescent="0.35">
      <c r="A23" s="38"/>
      <c r="B23" s="39"/>
      <c r="C23" s="39"/>
      <c r="D23" s="39"/>
      <c r="E23" s="39"/>
      <c r="F23" s="39"/>
      <c r="G23" s="39"/>
      <c r="H23" s="39"/>
      <c r="I23" s="39"/>
      <c r="J23" s="39"/>
      <c r="K23" s="40"/>
    </row>
    <row r="24" spans="1:11" s="48" customFormat="1" ht="29.4" customHeight="1" thickBot="1" x14ac:dyDescent="0.35">
      <c r="A24" s="41" t="s">
        <v>16</v>
      </c>
      <c r="B24" s="42"/>
      <c r="C24" s="43"/>
      <c r="D24" s="44" t="s">
        <v>17</v>
      </c>
      <c r="E24" s="45"/>
      <c r="F24" s="46" t="s">
        <v>18</v>
      </c>
      <c r="G24" s="47" t="s">
        <v>19</v>
      </c>
      <c r="H24" s="44" t="s">
        <v>17</v>
      </c>
      <c r="I24" s="45"/>
      <c r="J24" s="46" t="s">
        <v>18</v>
      </c>
      <c r="K24" s="47" t="s">
        <v>19</v>
      </c>
    </row>
    <row r="25" spans="1:11" ht="15" thickBot="1" x14ac:dyDescent="0.35">
      <c r="A25" s="49"/>
      <c r="B25" s="50"/>
      <c r="C25" s="51"/>
      <c r="D25" s="52" t="s">
        <v>20</v>
      </c>
      <c r="E25" s="53"/>
      <c r="F25" s="54"/>
      <c r="G25" s="55"/>
      <c r="H25" s="52" t="s">
        <v>21</v>
      </c>
      <c r="I25" s="53"/>
      <c r="J25" s="54"/>
      <c r="K25" s="55"/>
    </row>
    <row r="26" spans="1:11" ht="7.2" customHeight="1" x14ac:dyDescent="0.3">
      <c r="A26" s="56"/>
      <c r="C26" s="57"/>
      <c r="F26" s="58"/>
      <c r="G26" s="59"/>
      <c r="J26" s="60"/>
      <c r="K26" s="3"/>
    </row>
    <row r="27" spans="1:11" x14ac:dyDescent="0.3">
      <c r="A27" s="61" t="s">
        <v>22</v>
      </c>
      <c r="B27" s="62"/>
      <c r="C27" s="63"/>
      <c r="D27" s="64"/>
      <c r="E27" s="65" t="s">
        <v>23</v>
      </c>
      <c r="F27" s="66" t="str">
        <f>IF(D27&lt;60,"L",IF(D27&lt;=100,"",IF(D27&gt;100,"H")))</f>
        <v>L</v>
      </c>
      <c r="G27" s="67" t="s">
        <v>24</v>
      </c>
      <c r="H27" s="64">
        <f>D27*0.0554951033732318</f>
        <v>0</v>
      </c>
      <c r="I27" s="65" t="s">
        <v>25</v>
      </c>
      <c r="J27" s="68" t="str">
        <f>IF(H27&lt;3.5,"L",IF(H27&lt;=5.5,"",IF(H27&gt;5.5,"H")))</f>
        <v>L</v>
      </c>
      <c r="K27" s="69" t="s">
        <v>26</v>
      </c>
    </row>
    <row r="28" spans="1:11" x14ac:dyDescent="0.3">
      <c r="A28" s="70" t="s">
        <v>27</v>
      </c>
      <c r="B28" s="71"/>
      <c r="C28" s="72"/>
      <c r="D28" s="73"/>
      <c r="E28" s="74" t="s">
        <v>23</v>
      </c>
      <c r="F28" s="75" t="str">
        <f>IF(D28&lt;200,"",IF(D28&gt;=200,"H"))</f>
        <v/>
      </c>
      <c r="G28" s="76" t="s">
        <v>28</v>
      </c>
      <c r="H28" s="73">
        <f>D28*0.0554951033732318</f>
        <v>0</v>
      </c>
      <c r="I28" s="74" t="s">
        <v>25</v>
      </c>
      <c r="J28" s="68" t="str">
        <f>IF(H28&lt;11.1,"",IF(H28&gt;=11.1,"H"))</f>
        <v/>
      </c>
      <c r="K28" s="77" t="s">
        <v>29</v>
      </c>
    </row>
    <row r="29" spans="1:11" x14ac:dyDescent="0.3">
      <c r="A29" s="78" t="s">
        <v>30</v>
      </c>
      <c r="B29" s="79"/>
      <c r="C29" s="80"/>
      <c r="D29" s="81"/>
      <c r="E29" s="82"/>
      <c r="F29" s="83"/>
      <c r="G29" s="84"/>
      <c r="H29" s="81"/>
      <c r="I29" s="82"/>
      <c r="J29" s="85"/>
      <c r="K29" s="86"/>
    </row>
    <row r="30" spans="1:11" x14ac:dyDescent="0.3">
      <c r="A30" s="87"/>
      <c r="B30" s="88" t="s">
        <v>31</v>
      </c>
      <c r="C30" s="63"/>
      <c r="D30" s="64"/>
      <c r="E30" s="65" t="s">
        <v>23</v>
      </c>
      <c r="F30" s="66" t="str">
        <f>IF(D30&lt;0,"L",IF(D30&lt;=200.77,"",IF(D30&gt;200.77,"H")))</f>
        <v/>
      </c>
      <c r="G30" s="89" t="s">
        <v>32</v>
      </c>
      <c r="H30" s="64">
        <f>D30*0.0259997360432889</f>
        <v>0</v>
      </c>
      <c r="I30" s="65" t="s">
        <v>25</v>
      </c>
      <c r="J30" s="68" t="str">
        <f>IF(H30&lt;0,"L",IF(H30&lt;=5.2,"",IF(H30&gt;5.2,"H")))</f>
        <v/>
      </c>
      <c r="K30" s="90" t="s">
        <v>33</v>
      </c>
    </row>
    <row r="31" spans="1:11" x14ac:dyDescent="0.3">
      <c r="A31" s="87"/>
      <c r="B31" s="91" t="s">
        <v>34</v>
      </c>
      <c r="C31" s="92"/>
      <c r="D31" s="73"/>
      <c r="E31" s="74" t="s">
        <v>23</v>
      </c>
      <c r="F31" s="93" t="str">
        <f>IF(D31&lt;44.2,"L",IF(D31&gt;=44.2,""))</f>
        <v>L</v>
      </c>
      <c r="G31" s="76" t="s">
        <v>35</v>
      </c>
      <c r="H31" s="73">
        <f>D31*0.0259997360432889</f>
        <v>0</v>
      </c>
      <c r="I31" s="74" t="s">
        <v>25</v>
      </c>
      <c r="J31" s="94" t="str">
        <f>IF(H31&lt;1.15,"L",IF(H31&gt;=1.15,""))</f>
        <v>L</v>
      </c>
      <c r="K31" s="77" t="s">
        <v>36</v>
      </c>
    </row>
    <row r="32" spans="1:11" x14ac:dyDescent="0.3">
      <c r="A32" s="56"/>
      <c r="B32" s="91" t="s">
        <v>37</v>
      </c>
      <c r="C32" s="92"/>
      <c r="D32" s="73"/>
      <c r="E32" s="74" t="s">
        <v>23</v>
      </c>
      <c r="F32" s="95" t="str">
        <f>IF(D32&lt;0,"L",IF(D32&lt;=99.6,"",IF(D32&gt;99.6,"H")))</f>
        <v/>
      </c>
      <c r="G32" s="96" t="s">
        <v>38</v>
      </c>
      <c r="H32" s="73">
        <f>D32*0.0259997360432889</f>
        <v>0</v>
      </c>
      <c r="I32" s="74" t="s">
        <v>25</v>
      </c>
      <c r="J32" s="97" t="str">
        <f>IF(H32&lt;0,"L",IF(H32&lt;=2.59,"",IF(H32&gt;2.59,"H")))</f>
        <v/>
      </c>
      <c r="K32" s="98" t="s">
        <v>39</v>
      </c>
    </row>
    <row r="33" spans="1:11" x14ac:dyDescent="0.3">
      <c r="A33" s="87"/>
      <c r="B33" s="91" t="s">
        <v>40</v>
      </c>
      <c r="C33" s="92"/>
      <c r="D33" s="73"/>
      <c r="E33" s="74" t="s">
        <v>23</v>
      </c>
      <c r="F33" s="75" t="str">
        <f>IF(D33&lt;1.9,"L",IF(D33&lt;=30.76,"",IF(D33&gt;30.76,"H")))</f>
        <v>L</v>
      </c>
      <c r="G33" s="76" t="s">
        <v>41</v>
      </c>
      <c r="H33" s="73">
        <f>D33*0.0259997360432889</f>
        <v>0</v>
      </c>
      <c r="I33" s="74" t="s">
        <v>25</v>
      </c>
      <c r="J33" s="99" t="str">
        <f>IF(H33&lt;0.05,"L",IF(H33&lt;=0.8,"",IF(H33&gt;0.8,"H")))</f>
        <v>L</v>
      </c>
      <c r="K33" s="77" t="s">
        <v>42</v>
      </c>
    </row>
    <row r="34" spans="1:11" x14ac:dyDescent="0.3">
      <c r="A34" s="87"/>
      <c r="B34" s="100" t="s">
        <v>43</v>
      </c>
      <c r="C34" s="72"/>
      <c r="D34" s="73"/>
      <c r="E34" s="74" t="s">
        <v>23</v>
      </c>
      <c r="F34" s="95" t="str">
        <f>IF(D34&lt;0,"L",IF(D34&lt;=203.54,"",IF(D34&gt;203.54,"H")))</f>
        <v/>
      </c>
      <c r="G34" s="96" t="s">
        <v>44</v>
      </c>
      <c r="H34" s="101">
        <f>D34*0.0112997464447139</f>
        <v>0</v>
      </c>
      <c r="I34" s="74" t="s">
        <v>25</v>
      </c>
      <c r="J34" s="97" t="str">
        <f>IF(H34&lt;0,H37,IF(H34&lt;=2.3,"",IF(H34&gt;2.3,"H")))</f>
        <v/>
      </c>
      <c r="K34" s="98" t="s">
        <v>45</v>
      </c>
    </row>
    <row r="35" spans="1:11" x14ac:dyDescent="0.3">
      <c r="A35" s="102" t="s">
        <v>46</v>
      </c>
      <c r="B35" s="103"/>
      <c r="C35" s="104"/>
      <c r="D35" s="64"/>
      <c r="E35" s="105" t="s">
        <v>23</v>
      </c>
      <c r="F35" s="106" t="str">
        <f>IF(D35&lt;0.5,"L",IF(D35&lt;=0.9,"",IF(D35&gt;0.9,"H")))</f>
        <v>L</v>
      </c>
      <c r="G35" s="67" t="s">
        <v>47</v>
      </c>
      <c r="H35" s="73">
        <f>D35*88.8524590163934</f>
        <v>0</v>
      </c>
      <c r="I35" s="105" t="s">
        <v>48</v>
      </c>
      <c r="J35" s="107" t="str">
        <f>IF(H35&lt;44,"L",IF(H35&lt;=80,"",IF(H35&gt;80,"H")))</f>
        <v>L</v>
      </c>
      <c r="K35" s="69" t="s">
        <v>49</v>
      </c>
    </row>
    <row r="36" spans="1:11" x14ac:dyDescent="0.3">
      <c r="A36" s="108" t="s">
        <v>50</v>
      </c>
      <c r="B36" s="91"/>
      <c r="C36" s="92"/>
      <c r="D36" s="73"/>
      <c r="E36" s="74" t="s">
        <v>23</v>
      </c>
      <c r="F36" s="93" t="str">
        <f>IF(D36&lt;16.87,"L",IF(D36&lt;=43.37,"",IF(D36&gt;43.37,"H")))</f>
        <v>L</v>
      </c>
      <c r="G36" s="76" t="s">
        <v>51</v>
      </c>
      <c r="H36" s="73">
        <f>D36*0.165970375996961</f>
        <v>0</v>
      </c>
      <c r="I36" s="74" t="s">
        <v>25</v>
      </c>
      <c r="J36" s="94" t="str">
        <f>IF(H36&lt;2.8,"L",IF(H36&lt;=7.2,"",IF(H36&gt;7.2,"H")))</f>
        <v>L</v>
      </c>
      <c r="K36" s="77" t="s">
        <v>52</v>
      </c>
    </row>
    <row r="37" spans="1:11" x14ac:dyDescent="0.3">
      <c r="A37" s="70" t="s">
        <v>53</v>
      </c>
      <c r="B37" s="71"/>
      <c r="C37" s="72"/>
      <c r="D37" s="73"/>
      <c r="E37" s="109" t="s">
        <v>23</v>
      </c>
      <c r="F37" s="75" t="str">
        <f>IF(D37&lt;2.3,"L",IF(D37&lt;=6.1,"",IF(D37&gt;6.1,"H")))</f>
        <v>L</v>
      </c>
      <c r="G37" s="76" t="s">
        <v>54</v>
      </c>
      <c r="H37" s="73">
        <f>D37*59.5</f>
        <v>0</v>
      </c>
      <c r="I37" s="109" t="s">
        <v>48</v>
      </c>
      <c r="J37" s="99" t="str">
        <f>IF(H37&lt;137,"L",IF(H37&lt;=363,"",IF(H37&gt;363,"H")))</f>
        <v>L</v>
      </c>
      <c r="K37" s="77" t="s">
        <v>55</v>
      </c>
    </row>
    <row r="38" spans="1:11" x14ac:dyDescent="0.3">
      <c r="A38" s="108" t="s">
        <v>56</v>
      </c>
      <c r="B38" s="91"/>
      <c r="C38" s="92"/>
      <c r="D38" s="73"/>
      <c r="E38" s="74" t="s">
        <v>57</v>
      </c>
      <c r="F38" s="94" t="str">
        <f>IF(D38&lt;0,"L",IF(D38&lt;=34,"",IF(D38&gt;34,"H")))</f>
        <v/>
      </c>
      <c r="G38" s="110" t="s">
        <v>58</v>
      </c>
      <c r="H38" s="73">
        <f>D38</f>
        <v>0</v>
      </c>
      <c r="I38" s="74" t="s">
        <v>57</v>
      </c>
      <c r="J38" s="94" t="str">
        <f>IF(H38&lt;0,"L",IF(H38&lt;=34,"",IF(H38&gt;34,"H")))</f>
        <v/>
      </c>
      <c r="K38" s="111" t="s">
        <v>59</v>
      </c>
    </row>
    <row r="39" spans="1:11" x14ac:dyDescent="0.3">
      <c r="A39" s="108" t="s">
        <v>60</v>
      </c>
      <c r="B39" s="91"/>
      <c r="C39" s="92"/>
      <c r="D39" s="73"/>
      <c r="E39" s="74" t="s">
        <v>57</v>
      </c>
      <c r="F39" s="94" t="str">
        <f>IF(D39&lt;0,"L",IF(D39&lt;=31,"",IF(D39&gt;31,"H")))</f>
        <v/>
      </c>
      <c r="G39" s="110" t="s">
        <v>61</v>
      </c>
      <c r="H39" s="73">
        <f>D39</f>
        <v>0</v>
      </c>
      <c r="I39" s="74" t="s">
        <v>57</v>
      </c>
      <c r="J39" s="94" t="str">
        <f>IF(H39&lt;0,"L",IF(H39&lt;=31,"",IF(H39&gt;31,"H")))</f>
        <v/>
      </c>
      <c r="K39" s="111" t="s">
        <v>62</v>
      </c>
    </row>
    <row r="40" spans="1:11" x14ac:dyDescent="0.3">
      <c r="A40" s="70" t="s">
        <v>63</v>
      </c>
      <c r="B40" s="100"/>
      <c r="C40" s="112"/>
      <c r="D40" s="73"/>
      <c r="E40" s="109" t="s">
        <v>23</v>
      </c>
      <c r="F40" s="75" t="str">
        <f>IF(D40&lt;0.1,"L",IF(D40&lt;=1.2,"",IF(D40&gt;1.2,"H")))</f>
        <v>L</v>
      </c>
      <c r="G40" s="76" t="s">
        <v>64</v>
      </c>
      <c r="H40" s="73">
        <f>D40*17.1</f>
        <v>0</v>
      </c>
      <c r="I40" s="109" t="s">
        <v>48</v>
      </c>
      <c r="J40" s="99" t="str">
        <f>IF(H40&lt;2,"L",IF(H40&lt;=21,"",IF(H40&gt;21,"H")))</f>
        <v>L</v>
      </c>
      <c r="K40" s="111" t="s">
        <v>65</v>
      </c>
    </row>
    <row r="41" spans="1:11" x14ac:dyDescent="0.3">
      <c r="A41" s="108" t="s">
        <v>66</v>
      </c>
      <c r="B41" s="91"/>
      <c r="C41" s="112"/>
      <c r="D41" s="73"/>
      <c r="E41" s="109" t="s">
        <v>23</v>
      </c>
      <c r="F41" s="95" t="str">
        <f>IF(D41&lt;0,"L",IF(D41&lt;=0.3,"",IF(D41&gt;0.3,"H")))</f>
        <v/>
      </c>
      <c r="G41" s="96" t="s">
        <v>67</v>
      </c>
      <c r="H41" s="73">
        <f>D41*17.1</f>
        <v>0</v>
      </c>
      <c r="I41" s="109" t="s">
        <v>48</v>
      </c>
      <c r="J41" s="97" t="str">
        <f>IF(H41&lt;0,"L",IF(H41&lt;=5.13,"",IF(H41&gt;5.13,"H")))</f>
        <v/>
      </c>
      <c r="K41" s="111" t="s">
        <v>68</v>
      </c>
    </row>
    <row r="42" spans="1:11" x14ac:dyDescent="0.3">
      <c r="A42" s="113" t="s">
        <v>69</v>
      </c>
      <c r="B42" s="114"/>
      <c r="C42" s="115"/>
      <c r="D42" s="73">
        <f>H42/17.1</f>
        <v>0</v>
      </c>
      <c r="E42" s="109" t="s">
        <v>23</v>
      </c>
      <c r="F42" s="93" t="str">
        <f>IF(D42&lt;0.2,"L",IF(D42&lt;=1.2,"",IF(D42&gt;1.2,"H")))</f>
        <v>L</v>
      </c>
      <c r="G42" s="76" t="s">
        <v>70</v>
      </c>
      <c r="H42" s="73">
        <f>H40-H41</f>
        <v>0</v>
      </c>
      <c r="I42" s="109" t="s">
        <v>48</v>
      </c>
      <c r="J42" s="94" t="str">
        <f>IF(H42&lt;3.42,"L",IF(H42&lt;=20.52,"",IF(H42&gt;20.52,"H")))</f>
        <v>L</v>
      </c>
      <c r="K42" s="111" t="s">
        <v>71</v>
      </c>
    </row>
    <row r="43" spans="1:11" x14ac:dyDescent="0.3">
      <c r="A43" s="70" t="s">
        <v>72</v>
      </c>
      <c r="B43" s="100"/>
      <c r="C43" s="116"/>
      <c r="D43" s="73"/>
      <c r="E43" s="74" t="s">
        <v>57</v>
      </c>
      <c r="F43" s="94" t="str">
        <f>IF(D43&lt;9,"L",IF(D43&lt;=39,"",IF(D43&gt;39,"H")))</f>
        <v>L</v>
      </c>
      <c r="G43" s="110" t="s">
        <v>73</v>
      </c>
      <c r="H43" s="73">
        <f>D43</f>
        <v>0</v>
      </c>
      <c r="I43" s="74" t="s">
        <v>57</v>
      </c>
      <c r="J43" s="94" t="str">
        <f>IF(H43&lt;9,"L",IF(H43&lt;=39,"",IF(H43&gt;39,"H")))</f>
        <v>L</v>
      </c>
      <c r="K43" s="111" t="s">
        <v>74</v>
      </c>
    </row>
    <row r="44" spans="1:11" x14ac:dyDescent="0.3">
      <c r="A44" s="117" t="s">
        <v>75</v>
      </c>
      <c r="B44" s="118"/>
      <c r="C44" s="119"/>
      <c r="D44" s="120"/>
      <c r="E44" s="121" t="s">
        <v>57</v>
      </c>
      <c r="F44" s="122" t="str">
        <f>IF(D44&lt;30,"L",IF(D44&lt;=120,"",IF(D44&gt;120,"H")))</f>
        <v>L</v>
      </c>
      <c r="G44" s="123" t="s">
        <v>76</v>
      </c>
      <c r="H44" s="120">
        <f>D44</f>
        <v>0</v>
      </c>
      <c r="I44" s="121" t="s">
        <v>57</v>
      </c>
      <c r="J44" s="122" t="str">
        <f>IF(H44&lt;30,"L",IF(H44&lt;=120,"",IF(H44&gt;120,"H")))</f>
        <v>L</v>
      </c>
      <c r="K44" s="124" t="s">
        <v>76</v>
      </c>
    </row>
    <row r="45" spans="1:11" ht="14.1" customHeight="1" x14ac:dyDescent="0.3">
      <c r="A45" s="117" t="s">
        <v>77</v>
      </c>
      <c r="B45" s="118"/>
      <c r="C45" s="119"/>
      <c r="D45" s="120"/>
      <c r="E45" s="121" t="s">
        <v>78</v>
      </c>
      <c r="F45" s="122" t="str">
        <f>IF(D45&lt;4.5,"L",IF(D45&lt;=6.5,"",IF(D45&gt;6.5,"H")))</f>
        <v>L</v>
      </c>
      <c r="G45" s="123" t="s">
        <v>79</v>
      </c>
      <c r="H45" s="120">
        <f>(D45-2.152)/0.09148</f>
        <v>-23.524267599475294</v>
      </c>
      <c r="I45" s="121" t="s">
        <v>80</v>
      </c>
      <c r="J45" s="122" t="str">
        <f>IF(H45&lt;25.67,"L",IF(H45&lt;=47.53,"",IF(H45&gt;47.53,"H")))</f>
        <v>L</v>
      </c>
      <c r="K45" s="124" t="s">
        <v>81</v>
      </c>
    </row>
    <row r="46" spans="1:11" ht="14.1" customHeight="1" thickBot="1" x14ac:dyDescent="0.35">
      <c r="A46" s="125" t="s">
        <v>82</v>
      </c>
      <c r="B46" s="126"/>
      <c r="C46" s="126"/>
      <c r="D46" s="126"/>
      <c r="E46" s="126"/>
      <c r="F46" s="126"/>
      <c r="G46" s="126"/>
      <c r="H46" s="126"/>
      <c r="I46" s="126"/>
      <c r="J46" s="126"/>
      <c r="K46" s="127"/>
    </row>
    <row r="47" spans="1:11" x14ac:dyDescent="0.3">
      <c r="A47" s="128" t="s">
        <v>83</v>
      </c>
      <c r="C47" s="129"/>
      <c r="D47" s="129"/>
      <c r="E47" s="129"/>
      <c r="F47" s="129"/>
      <c r="G47" s="129"/>
      <c r="H47" s="129"/>
      <c r="I47" s="129"/>
      <c r="J47" s="129"/>
      <c r="K47" s="129"/>
    </row>
    <row r="48" spans="1:11" ht="8.4" customHeight="1" x14ac:dyDescent="0.3"/>
    <row r="49" spans="1:11" x14ac:dyDescent="0.3">
      <c r="A49" s="130" t="s">
        <v>84</v>
      </c>
      <c r="E49" s="131" t="s">
        <v>85</v>
      </c>
      <c r="I49" s="131" t="s">
        <v>86</v>
      </c>
    </row>
    <row r="50" spans="1:11" x14ac:dyDescent="0.3">
      <c r="I50" s="132"/>
    </row>
    <row r="51" spans="1:11" x14ac:dyDescent="0.3">
      <c r="A51" s="133" t="s">
        <v>87</v>
      </c>
      <c r="B51" s="133"/>
      <c r="C51" s="133"/>
      <c r="D51" s="133"/>
      <c r="E51" s="133" t="s">
        <v>88</v>
      </c>
      <c r="F51" s="133"/>
      <c r="G51" s="133"/>
      <c r="H51" s="133"/>
      <c r="I51" s="134" t="s">
        <v>89</v>
      </c>
      <c r="J51" s="134"/>
      <c r="K51" s="134"/>
    </row>
    <row r="52" spans="1:11" x14ac:dyDescent="0.3">
      <c r="A52" s="135" t="s">
        <v>90</v>
      </c>
      <c r="B52" s="135"/>
      <c r="C52" s="135"/>
      <c r="D52" s="135"/>
      <c r="E52" s="136" t="s">
        <v>91</v>
      </c>
      <c r="F52" s="136"/>
      <c r="G52" s="136"/>
      <c r="H52" s="136"/>
      <c r="I52" s="136" t="s">
        <v>92</v>
      </c>
      <c r="J52" s="136"/>
      <c r="K52" s="136"/>
    </row>
    <row r="53" spans="1:11" x14ac:dyDescent="0.3">
      <c r="A53" s="136" t="str">
        <f>IF(A51=A60,"Lic. No. 0091946",IF(A51=A61,"Lic. No. 0068902",IF(A51=A62,"Lic. No. 0081395",IF(A51=A63,"Lic. No. 0054465",IF(A51=A64,"Lic. No. 0060939")))))</f>
        <v>Lic. No. 0068902</v>
      </c>
      <c r="B53" s="136"/>
      <c r="C53" s="136"/>
      <c r="D53" s="136"/>
      <c r="E53" s="136" t="s">
        <v>93</v>
      </c>
      <c r="F53" s="136"/>
      <c r="G53" s="136"/>
      <c r="H53" s="136"/>
      <c r="I53" s="136" t="s">
        <v>94</v>
      </c>
      <c r="J53" s="136"/>
      <c r="K53" s="136"/>
    </row>
    <row r="55" spans="1:11" x14ac:dyDescent="0.3">
      <c r="A55" s="137"/>
      <c r="B55" s="137"/>
      <c r="C55" s="137"/>
      <c r="D55" s="137"/>
    </row>
    <row r="56" spans="1:11" x14ac:dyDescent="0.3">
      <c r="C56" s="137"/>
      <c r="D56" s="137"/>
    </row>
    <row r="57" spans="1:11" ht="14.4" customHeight="1" x14ac:dyDescent="0.3">
      <c r="C57" s="137"/>
      <c r="D57" s="137"/>
    </row>
    <row r="60" spans="1:11" x14ac:dyDescent="0.3">
      <c r="A60" s="138" t="s">
        <v>95</v>
      </c>
      <c r="B60" s="138" t="s">
        <v>96</v>
      </c>
    </row>
    <row r="61" spans="1:11" x14ac:dyDescent="0.3">
      <c r="A61" s="139" t="s">
        <v>87</v>
      </c>
      <c r="B61" s="140" t="s">
        <v>97</v>
      </c>
    </row>
    <row r="62" spans="1:11" x14ac:dyDescent="0.3">
      <c r="A62" s="139" t="s">
        <v>98</v>
      </c>
      <c r="B62" s="140" t="s">
        <v>99</v>
      </c>
    </row>
    <row r="63" spans="1:11" x14ac:dyDescent="0.3">
      <c r="A63" t="s">
        <v>100</v>
      </c>
      <c r="B63" t="s">
        <v>101</v>
      </c>
    </row>
    <row r="64" spans="1:11" x14ac:dyDescent="0.3">
      <c r="A64" t="s">
        <v>102</v>
      </c>
      <c r="B64" t="s">
        <v>103</v>
      </c>
    </row>
  </sheetData>
  <mergeCells count="58">
    <mergeCell ref="A52:D52"/>
    <mergeCell ref="E52:H52"/>
    <mergeCell ref="I52:K52"/>
    <mergeCell ref="A53:D53"/>
    <mergeCell ref="E53:H53"/>
    <mergeCell ref="I53:K53"/>
    <mergeCell ref="A39:C39"/>
    <mergeCell ref="A41:B41"/>
    <mergeCell ref="A42:C42"/>
    <mergeCell ref="A46:K46"/>
    <mergeCell ref="C47:K47"/>
    <mergeCell ref="A51:D51"/>
    <mergeCell ref="E51:H51"/>
    <mergeCell ref="I51:K51"/>
    <mergeCell ref="B31:C31"/>
    <mergeCell ref="B32:C32"/>
    <mergeCell ref="B33:C33"/>
    <mergeCell ref="A35:C35"/>
    <mergeCell ref="A36:C36"/>
    <mergeCell ref="A38:C38"/>
    <mergeCell ref="A23:K23"/>
    <mergeCell ref="A24:C25"/>
    <mergeCell ref="D24:E24"/>
    <mergeCell ref="F24:F25"/>
    <mergeCell ref="G24:G25"/>
    <mergeCell ref="H24:I24"/>
    <mergeCell ref="J24:J25"/>
    <mergeCell ref="K24:K25"/>
    <mergeCell ref="D25:E25"/>
    <mergeCell ref="H25:I25"/>
    <mergeCell ref="A20:C20"/>
    <mergeCell ref="D20:E20"/>
    <mergeCell ref="F20:G20"/>
    <mergeCell ref="H20:I20"/>
    <mergeCell ref="J20:K20"/>
    <mergeCell ref="A21:K22"/>
    <mergeCell ref="A17:C17"/>
    <mergeCell ref="D17:E17"/>
    <mergeCell ref="F17:G17"/>
    <mergeCell ref="H17:K17"/>
    <mergeCell ref="A18:C18"/>
    <mergeCell ref="D18:E18"/>
    <mergeCell ref="F18:G18"/>
    <mergeCell ref="H18:K18"/>
    <mergeCell ref="A14:C14"/>
    <mergeCell ref="E14:G14"/>
    <mergeCell ref="I14:K14"/>
    <mergeCell ref="A15:C15"/>
    <mergeCell ref="E15:G15"/>
    <mergeCell ref="I15:K15"/>
    <mergeCell ref="A9:K9"/>
    <mergeCell ref="A11:C11"/>
    <mergeCell ref="D11:F11"/>
    <mergeCell ref="G11:K11"/>
    <mergeCell ref="A12:C12"/>
    <mergeCell ref="D12:F12"/>
    <mergeCell ref="G12:I12"/>
    <mergeCell ref="J12:K12"/>
  </mergeCells>
  <conditionalFormatting sqref="F26">
    <cfRule type="containsText" dxfId="82" priority="83" operator="containsText" text="L">
      <formula>NOT(ISERROR(SEARCH("L",F26)))</formula>
    </cfRule>
    <cfRule type="containsText" dxfId="83" priority="84" operator="containsText" text="H">
      <formula>NOT(ISERROR(SEARCH("H",F26)))</formula>
    </cfRule>
  </conditionalFormatting>
  <conditionalFormatting sqref="F26:F27">
    <cfRule type="containsText" dxfId="81" priority="46" operator="containsText" text="H">
      <formula>NOT(ISERROR(SEARCH("H",F26)))</formula>
    </cfRule>
  </conditionalFormatting>
  <conditionalFormatting sqref="F27">
    <cfRule type="containsText" dxfId="80" priority="44" operator="containsText" text="H">
      <formula>NOT(ISERROR(SEARCH("H",F27)))</formula>
    </cfRule>
    <cfRule type="containsText" dxfId="79" priority="45" operator="containsText" text="L">
      <formula>NOT(ISERROR(SEARCH("L",F27)))</formula>
    </cfRule>
  </conditionalFormatting>
  <conditionalFormatting sqref="F28:F29">
    <cfRule type="containsText" dxfId="78" priority="81" operator="containsText" text="L">
      <formula>NOT(ISERROR(SEARCH("L",F28)))</formula>
    </cfRule>
    <cfRule type="containsText" dxfId="77" priority="82" operator="containsText" text="H">
      <formula>NOT(ISERROR(SEARCH("H",F28)))</formula>
    </cfRule>
  </conditionalFormatting>
  <conditionalFormatting sqref="F28:F30">
    <cfRule type="containsText" dxfId="76" priority="78" operator="containsText" text="H">
      <formula>NOT(ISERROR(SEARCH("H",F28)))</formula>
    </cfRule>
  </conditionalFormatting>
  <conditionalFormatting sqref="F30">
    <cfRule type="containsText" dxfId="73" priority="75" operator="containsText" text="L">
      <formula>NOT(ISERROR(SEARCH("L",F30)))</formula>
    </cfRule>
    <cfRule type="containsText" dxfId="74" priority="76" operator="containsText" text="H">
      <formula>NOT(ISERROR(SEARCH("H",F30)))</formula>
    </cfRule>
    <cfRule type="containsText" dxfId="75" priority="77" operator="containsText" text="L">
      <formula>NOT(ISERROR(SEARCH("L",F30)))</formula>
    </cfRule>
  </conditionalFormatting>
  <conditionalFormatting sqref="F30:F33">
    <cfRule type="containsText" dxfId="72" priority="74" operator="containsText" text="H">
      <formula>NOT(ISERROR(SEARCH("H",F30)))</formula>
    </cfRule>
  </conditionalFormatting>
  <conditionalFormatting sqref="F31">
    <cfRule type="containsText" dxfId="68" priority="70" operator="containsText" text="H">
      <formula>NOT(ISERROR(SEARCH("H",F31)))</formula>
    </cfRule>
    <cfRule type="containsText" dxfId="71" priority="71" operator="containsText" text="L">
      <formula>NOT(ISERROR(SEARCH("L",F31)))</formula>
    </cfRule>
    <cfRule type="containsText" dxfId="69" priority="72" operator="containsText" text="H">
      <formula>NOT(ISERROR(SEARCH("H",F31)))</formula>
    </cfRule>
    <cfRule type="containsText" dxfId="70" priority="73" operator="containsText" text="L">
      <formula>NOT(ISERROR(SEARCH("L",F31)))</formula>
    </cfRule>
  </conditionalFormatting>
  <conditionalFormatting sqref="F32:F33 F35:F37 F41">
    <cfRule type="containsText" dxfId="66" priority="79" operator="containsText" text="L">
      <formula>NOT(ISERROR(SEARCH("L",F32)))</formula>
    </cfRule>
    <cfRule type="containsText" dxfId="67" priority="80" operator="containsText" text="H">
      <formula>NOT(ISERROR(SEARCH("H",F32)))</formula>
    </cfRule>
  </conditionalFormatting>
  <conditionalFormatting sqref="F34">
    <cfRule type="containsText" dxfId="62" priority="65" operator="containsText" text="H">
      <formula>NOT(ISERROR(SEARCH("H",F34)))</formula>
    </cfRule>
    <cfRule type="containsText" dxfId="65" priority="66" operator="containsText" text="L">
      <formula>NOT(ISERROR(SEARCH("L",F34)))</formula>
    </cfRule>
    <cfRule type="containsText" dxfId="63" priority="67" operator="containsText" text="H">
      <formula>NOT(ISERROR(SEARCH("H",F34)))</formula>
    </cfRule>
    <cfRule type="containsText" dxfId="64" priority="68" operator="containsText" text="L">
      <formula>NOT(ISERROR(SEARCH("L",F34)))</formula>
    </cfRule>
  </conditionalFormatting>
  <conditionalFormatting sqref="F34:F37">
    <cfRule type="containsText" dxfId="61" priority="69" operator="containsText" text="H">
      <formula>NOT(ISERROR(SEARCH("H",F34)))</formula>
    </cfRule>
  </conditionalFormatting>
  <conditionalFormatting sqref="F38:F39">
    <cfRule type="containsText" dxfId="57" priority="58" operator="containsText" text="H">
      <formula>NOT(ISERROR(SEARCH("H",F38)))</formula>
    </cfRule>
    <cfRule type="containsText" dxfId="58" priority="59" operator="containsText" text="L">
      <formula>NOT(ISERROR(SEARCH("L",F38)))</formula>
    </cfRule>
    <cfRule type="containsText" dxfId="59" priority="60" operator="containsText" text="H">
      <formula>NOT(ISERROR(SEARCH("H",F38)))</formula>
    </cfRule>
    <cfRule type="containsText" dxfId="60" priority="61" operator="containsText" text="L">
      <formula>NOT(ISERROR(SEARCH("L",F38)))</formula>
    </cfRule>
  </conditionalFormatting>
  <conditionalFormatting sqref="F38:F40">
    <cfRule type="containsText" dxfId="56" priority="62" operator="containsText" text="H">
      <formula>NOT(ISERROR(SEARCH("H",F38)))</formula>
    </cfRule>
  </conditionalFormatting>
  <conditionalFormatting sqref="F40">
    <cfRule type="containsText" dxfId="55" priority="63" operator="containsText" text="L">
      <formula>NOT(ISERROR(SEARCH("L",F40)))</formula>
    </cfRule>
  </conditionalFormatting>
  <conditionalFormatting sqref="F40:F41">
    <cfRule type="containsText" dxfId="54" priority="64" operator="containsText" text="H">
      <formula>NOT(ISERROR(SEARCH("H",F40)))</formula>
    </cfRule>
  </conditionalFormatting>
  <conditionalFormatting sqref="F42">
    <cfRule type="containsText" dxfId="53" priority="47" operator="containsText" text="H">
      <formula>NOT(ISERROR(SEARCH("H",F42)))</formula>
    </cfRule>
    <cfRule type="containsText" dxfId="49" priority="48" operator="containsText" text="L">
      <formula>NOT(ISERROR(SEARCH("L",F42)))</formula>
    </cfRule>
    <cfRule type="containsText" dxfId="50" priority="49" operator="containsText" text="H">
      <formula>NOT(ISERROR(SEARCH("H",F42)))</formula>
    </cfRule>
    <cfRule type="containsText" dxfId="51" priority="50" operator="containsText" text="L">
      <formula>NOT(ISERROR(SEARCH("L",F42)))</formula>
    </cfRule>
    <cfRule type="containsText" dxfId="52" priority="51" operator="containsText" text="H">
      <formula>NOT(ISERROR(SEARCH("H",F42)))</formula>
    </cfRule>
  </conditionalFormatting>
  <conditionalFormatting sqref="F43">
    <cfRule type="containsText" dxfId="46" priority="54" operator="containsText" text="L">
      <formula>NOT(ISERROR(SEARCH("L",F43)))</formula>
    </cfRule>
    <cfRule type="containsText" dxfId="45" priority="55" operator="containsText" text="H">
      <formula>NOT(ISERROR(SEARCH("H",F43)))</formula>
    </cfRule>
    <cfRule type="containsText" dxfId="48" priority="56" operator="containsText" text="L">
      <formula>NOT(ISERROR(SEARCH("L",F43)))</formula>
    </cfRule>
    <cfRule type="containsText" dxfId="47" priority="57" operator="containsText" text="H">
      <formula>NOT(ISERROR(SEARCH("H",F43)))</formula>
    </cfRule>
  </conditionalFormatting>
  <conditionalFormatting sqref="F43:F44">
    <cfRule type="containsText" dxfId="44" priority="53" operator="containsText" text="H">
      <formula>NOT(ISERROR(SEARCH("H",F43)))</formula>
    </cfRule>
  </conditionalFormatting>
  <conditionalFormatting sqref="F44">
    <cfRule type="containsText" dxfId="43" priority="52" operator="containsText" text="L">
      <formula>NOT(ISERROR(SEARCH("L",F44)))</formula>
    </cfRule>
  </conditionalFormatting>
  <conditionalFormatting sqref="F44:F45">
    <cfRule type="containsText" dxfId="42" priority="6" operator="containsText" text="H">
      <formula>NOT(ISERROR(SEARCH("H",F44)))</formula>
    </cfRule>
  </conditionalFormatting>
  <conditionalFormatting sqref="F45">
    <cfRule type="containsText" dxfId="40" priority="4" operator="containsText" text="H">
      <formula>NOT(ISERROR(SEARCH("H",F45)))</formula>
    </cfRule>
    <cfRule type="containsText" dxfId="41" priority="5" operator="containsText" text="L">
      <formula>NOT(ISERROR(SEARCH("L",F45)))</formula>
    </cfRule>
  </conditionalFormatting>
  <conditionalFormatting sqref="J27">
    <cfRule type="containsText" dxfId="36" priority="7" operator="containsText" text="H">
      <formula>NOT(ISERROR(SEARCH("H",J27)))</formula>
    </cfRule>
    <cfRule type="containsText" dxfId="37" priority="8" operator="containsText" text="L">
      <formula>NOT(ISERROR(SEARCH("L",J27)))</formula>
    </cfRule>
    <cfRule type="containsText" dxfId="38" priority="9" operator="containsText" text="H">
      <formula>NOT(ISERROR(SEARCH("H",J27)))</formula>
    </cfRule>
    <cfRule type="containsText" dxfId="39" priority="10" operator="containsText" text="L">
      <formula>NOT(ISERROR(SEARCH("L",J27)))</formula>
    </cfRule>
  </conditionalFormatting>
  <conditionalFormatting sqref="J27:J28">
    <cfRule type="containsText" dxfId="35" priority="11" operator="containsText" text="H">
      <formula>NOT(ISERROR(SEARCH("H",J27)))</formula>
    </cfRule>
  </conditionalFormatting>
  <conditionalFormatting sqref="J28">
    <cfRule type="containsText" dxfId="34" priority="36" operator="containsText" text="L">
      <formula>NOT(ISERROR(SEARCH("L",J28)))</formula>
    </cfRule>
    <cfRule type="containsText" dxfId="33" priority="37" operator="containsText" text="H">
      <formula>NOT(ISERROR(SEARCH("H",J28)))</formula>
    </cfRule>
    <cfRule type="containsText" dxfId="32" priority="38" operator="containsText" text="L">
      <formula>NOT(ISERROR(SEARCH("L",J28)))</formula>
    </cfRule>
  </conditionalFormatting>
  <conditionalFormatting sqref="J28:J29">
    <cfRule type="containsText" dxfId="31" priority="39" operator="containsText" text="H">
      <formula>NOT(ISERROR(SEARCH("H",J28)))</formula>
    </cfRule>
  </conditionalFormatting>
  <conditionalFormatting sqref="J29">
    <cfRule type="containsText" dxfId="28" priority="40" operator="containsText" text="L">
      <formula>NOT(ISERROR(SEARCH("L",J29)))</formula>
    </cfRule>
    <cfRule type="containsText" dxfId="27" priority="41" operator="containsText" text="H">
      <formula>NOT(ISERROR(SEARCH("H",J29)))</formula>
    </cfRule>
    <cfRule type="containsText" dxfId="30" priority="42" operator="containsText" text="L">
      <formula>NOT(ISERROR(SEARCH("L",J29)))</formula>
    </cfRule>
    <cfRule type="containsText" dxfId="29" priority="43" operator="containsText" text="H">
      <formula>NOT(ISERROR(SEARCH("H",J29)))</formula>
    </cfRule>
  </conditionalFormatting>
  <conditionalFormatting sqref="J30:J39">
    <cfRule type="containsText" dxfId="23" priority="28" operator="containsText" text="L">
      <formula>NOT(ISERROR(SEARCH("L",J30)))</formula>
    </cfRule>
    <cfRule type="containsText" dxfId="24" priority="29" operator="containsText" text="H">
      <formula>NOT(ISERROR(SEARCH("H",J30)))</formula>
    </cfRule>
    <cfRule type="containsText" dxfId="25" priority="30" operator="containsText" text="L">
      <formula>NOT(ISERROR(SEARCH("L",J30)))</formula>
    </cfRule>
    <cfRule type="containsText" dxfId="26" priority="31" operator="containsText" text="H">
      <formula>NOT(ISERROR(SEARCH("H",J30)))</formula>
    </cfRule>
  </conditionalFormatting>
  <conditionalFormatting sqref="J30:J41">
    <cfRule type="containsText" dxfId="22" priority="27" operator="containsText" text="H">
      <formula>NOT(ISERROR(SEARCH("H",J30)))</formula>
    </cfRule>
  </conditionalFormatting>
  <conditionalFormatting sqref="J40">
    <cfRule type="containsText" dxfId="18" priority="23" operator="containsText" text="H">
      <formula>NOT(ISERROR(SEARCH("H",J40)))</formula>
    </cfRule>
    <cfRule type="containsText" dxfId="19" priority="24" operator="containsText" text="L">
      <formula>NOT(ISERROR(SEARCH("L",J40)))</formula>
    </cfRule>
    <cfRule type="containsText" dxfId="20" priority="25" operator="containsText" text="H">
      <formula>NOT(ISERROR(SEARCH("H",J40)))</formula>
    </cfRule>
    <cfRule type="containsText" dxfId="21" priority="26" operator="containsText" text="L">
      <formula>NOT(ISERROR(SEARCH("L",J40)))</formula>
    </cfRule>
  </conditionalFormatting>
  <conditionalFormatting sqref="J41">
    <cfRule type="containsText" dxfId="15" priority="32" operator="containsText" text="L">
      <formula>NOT(ISERROR(SEARCH("L",J41)))</formula>
    </cfRule>
    <cfRule type="containsText" dxfId="14" priority="33" operator="containsText" text="H">
      <formula>NOT(ISERROR(SEARCH("H",J41)))</formula>
    </cfRule>
    <cfRule type="containsText" dxfId="16" priority="34" operator="containsText" text="L">
      <formula>NOT(ISERROR(SEARCH("L",J41)))</formula>
    </cfRule>
    <cfRule type="containsText" dxfId="17" priority="35" operator="containsText" text="H">
      <formula>NOT(ISERROR(SEARCH("H",J41)))</formula>
    </cfRule>
  </conditionalFormatting>
  <conditionalFormatting sqref="J42">
    <cfRule type="containsText" dxfId="9" priority="12" operator="containsText" text="H">
      <formula>NOT(ISERROR(SEARCH("H",J42)))</formula>
    </cfRule>
    <cfRule type="containsText" dxfId="10" priority="13" operator="containsText" text="L">
      <formula>NOT(ISERROR(SEARCH("L",J42)))</formula>
    </cfRule>
    <cfRule type="containsText" dxfId="11" priority="14" operator="containsText" text="H">
      <formula>NOT(ISERROR(SEARCH("H",J42)))</formula>
    </cfRule>
    <cfRule type="containsText" dxfId="12" priority="15" operator="containsText" text="L">
      <formula>NOT(ISERROR(SEARCH("L",J42)))</formula>
    </cfRule>
    <cfRule type="containsText" dxfId="13" priority="16" operator="containsText" text="H">
      <formula>NOT(ISERROR(SEARCH("H",J42)))</formula>
    </cfRule>
  </conditionalFormatting>
  <conditionalFormatting sqref="J43">
    <cfRule type="containsText" dxfId="7" priority="19" operator="containsText" text="L">
      <formula>NOT(ISERROR(SEARCH("L",J43)))</formula>
    </cfRule>
    <cfRule type="containsText" dxfId="8" priority="20" operator="containsText" text="H">
      <formula>NOT(ISERROR(SEARCH("H",J43)))</formula>
    </cfRule>
    <cfRule type="containsText" dxfId="6" priority="21" operator="containsText" text="L">
      <formula>NOT(ISERROR(SEARCH("L",J43)))</formula>
    </cfRule>
    <cfRule type="containsText" dxfId="5" priority="22" operator="containsText" text="H">
      <formula>NOT(ISERROR(SEARCH("H",J43)))</formula>
    </cfRule>
  </conditionalFormatting>
  <conditionalFormatting sqref="J43:J44">
    <cfRule type="containsText" dxfId="4" priority="18" operator="containsText" text="H">
      <formula>NOT(ISERROR(SEARCH("H",J43)))</formula>
    </cfRule>
  </conditionalFormatting>
  <conditionalFormatting sqref="J44">
    <cfRule type="containsText" dxfId="3" priority="17" operator="containsText" text="L">
      <formula>NOT(ISERROR(SEARCH("L",J44)))</formula>
    </cfRule>
  </conditionalFormatting>
  <conditionalFormatting sqref="J44:J45">
    <cfRule type="containsText" dxfId="2" priority="3" operator="containsText" text="H">
      <formula>NOT(ISERROR(SEARCH("H",J44)))</formula>
    </cfRule>
  </conditionalFormatting>
  <conditionalFormatting sqref="J45">
    <cfRule type="containsText" dxfId="1" priority="1" operator="containsText" text="H">
      <formula>NOT(ISERROR(SEARCH("H",J45)))</formula>
    </cfRule>
    <cfRule type="containsText" dxfId="0" priority="2" operator="containsText" text="L">
      <formula>NOT(ISERROR(SEARCH("L",J45)))</formula>
    </cfRule>
  </conditionalFormatting>
  <dataValidations count="1">
    <dataValidation type="list" allowBlank="1" showInputMessage="1" showErrorMessage="1" sqref="A51:D51" xr:uid="{E44AC1B4-C602-4A7E-A9D8-66D64D1E1A83}">
      <formula1>$A$60:$A$64</formula1>
    </dataValidation>
  </dataValidations>
  <pageMargins left="0.23622047244094488" right="0.23622047244094488" top="0.74803149606299213" bottom="0.74803149606299213" header="0.31496062992125984" footer="0.31496062992125984"/>
  <pageSetup paperSize="9" orientation="portrait" horizontalDpi="360" verticalDpi="360" r:id="rId1"/>
  <headerFooter>
    <oddFooter>&amp;RDOH-CHD7-CL-Form-9 Rev. 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CHEM F (Conv.)</vt:lpstr>
      <vt:lpstr>'CHEM F (Conv.)'!Print_Area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Aguilar</dc:creator>
  <cp:lastModifiedBy>Sean Aguilar</cp:lastModifiedBy>
  <dcterms:created xsi:type="dcterms:W3CDTF">2026-02-01T09:03:17Z</dcterms:created>
  <dcterms:modified xsi:type="dcterms:W3CDTF">2026-02-01T09:03:29Z</dcterms:modified>
</cp:coreProperties>
</file>