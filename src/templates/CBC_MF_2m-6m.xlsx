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2FA294EB-C9AA-470D-833D-9ED9B1C9C26A}" xr6:coauthVersionLast="47" xr6:coauthVersionMax="47" xr10:uidLastSave="{00000000-0000-0000-0000-000000000000}"/>
  <bookViews>
    <workbookView xWindow="-108" yWindow="-108" windowWidth="23256" windowHeight="12456" xr2:uid="{DD44FC94-DC78-4835-A810-67BF3805F1C0}"/>
  </bookViews>
  <sheets>
    <sheet name="CBC MF (2m-6m)" sheetId="1" r:id="rId1"/>
  </sheets>
  <definedNames>
    <definedName name="_xlnm.Print_Area" localSheetId="0">'CBC MF (2m-6m)'!$A$1:$K$55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F20" i="1"/>
  <c r="A20" i="1"/>
  <c r="D18" i="1"/>
</calcChain>
</file>

<file path=xl/sharedStrings.xml><?xml version="1.0" encoding="utf-8"?>
<sst xmlns="http://schemas.openxmlformats.org/spreadsheetml/2006/main" count="117" uniqueCount="91">
  <si>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</si>
  <si>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</si>
  <si>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</si>
  <si>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</si>
  <si>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</si>
  <si>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</si>
  <si>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</si>
  <si>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</si>
  <si>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</si>
  <si>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</si>
  <si>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</si>
  <si>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</si>
  <si>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</si>
  <si>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</si>
  <si>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</si>
  <si>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</si>
  <si>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</si>
  <si>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</si>
  <si>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</si>
  <si>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</si>
  <si>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</si>
  <si>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</si>
  <si>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</si>
  <si>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</si>
  <si>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</si>
  <si>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6.0 - 13.3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</si>
  <si>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</si>
  <si>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</si>
  <si>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3.4 - 4.8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</si>
  <si>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</si>
  <si>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</si>
  <si>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9.6 - 12.4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</si>
  <si>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</si>
  <si>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</si>
  <si>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29.0 - 37.0</t>
  </si>
  <si>
    <t xml:space="preserve">        MCV</t>
  </si>
  <si>
    <t>fL</t>
  </si>
  <si>
    <t>74.0 - 88.0</t>
  </si>
  <si>
    <t xml:space="preserve">        MCH</t>
  </si>
  <si>
    <t>pg</t>
  </si>
  <si>
    <t>24.0 - 30.0</t>
  </si>
  <si>
    <t xml:space="preserve">        MCHC</t>
  </si>
  <si>
    <t>31.9 - 34.4</t>
  </si>
  <si>
    <t xml:space="preserve">        RDW</t>
  </si>
  <si>
    <t>&lt;15.3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</si>
  <si>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</si>
  <si>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</si>
  <si>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244.0 - 580.0</t>
  </si>
  <si>
    <t xml:space="preserve">     MPV</t>
  </si>
  <si>
    <t>8.9 - 10.9</t>
  </si>
  <si>
    <t>RELATIVE COUNT</t>
  </si>
  <si>
    <t>ABSOLUTE COUNT</t>
  </si>
  <si>
    <t>WBC DIFFERENTIAL COUNT</t>
  </si>
  <si>
    <t xml:space="preserve">       Neutrophil</t>
  </si>
  <si>
    <t>50.0 - 70.0</t>
  </si>
  <si>
    <t>1.0 - 7.2</t>
  </si>
  <si>
    <t xml:space="preserve">       Lymphocyte</t>
  </si>
  <si>
    <t>20.0 - 60.0</t>
  </si>
  <si>
    <t>2.1 - 9.0</t>
  </si>
  <si>
    <t xml:space="preserve">       Monocyte</t>
  </si>
  <si>
    <t>3.0 - 12.0</t>
  </si>
  <si>
    <t>0.2 - 1.2</t>
  </si>
  <si>
    <t xml:space="preserve">       Eosinophil</t>
  </si>
  <si>
    <t>0.5 - 5.0</t>
  </si>
  <si>
    <t>0.0 - 0.7</t>
  </si>
  <si>
    <t xml:space="preserve">       Basophil</t>
  </si>
  <si>
    <t>0.0 - 1.0</t>
  </si>
  <si>
    <t>0.0 - 0.1</t>
  </si>
  <si>
    <t xml:space="preserve">       Immature Granulocyte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</si>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</sst>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9FC79B2-9B3A-451D-BE9C-42FBD28B7C16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D5D3AA6-D772-4A84-AB10-713F2AC9408E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A02BCB-C1E4-4123-AAA9-4090CEB1E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0</xdr:row>
      <xdr:rowOff>160020</xdr:rowOff>
    </xdr:from>
    <xdr:to>
      <xdr:col>10</xdr:col>
      <xdr:colOff>719002</xdr:colOff>
      <xdr:row>5</xdr:row>
      <xdr:rowOff>160020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83331E-5B6E-4E89-B137-63E88FD2E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3140" y="16002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175260</xdr:rowOff>
    </xdr:from>
    <xdr:to>
      <xdr:col>1</xdr:col>
      <xdr:colOff>479640</xdr:colOff>
      <xdr:row>5</xdr:row>
      <xdr:rowOff>182460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40F9FD-0219-4F45-A78A-FFBA2CDB2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7526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8564-6B50-4A4A-B39E-EBCC6CEC08E2}">
  <dimension ref="A1:K135"/>
  <sheetViews>
    <sheetView tabSelected="1" view="pageLayout" topLeftCell="A40" zoomScaleNormal="100" workbookViewId="0">
      <selection activeCell="A56" sqref="A56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IF(D26&lt;6,"L",IF(D26&lt;=13.3,"",IF(D26&gt;13.3,"H")))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IF(D27&lt;3.4,"L",IF(D27&lt;=4.8,"",IF(D27&gt;4.8,"H")))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IF(D28&lt;9.6,"L",IF(D28&lt;=12.4,"",IF(D28&gt;12.4,"H")))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IF(D29&lt;29,"L",IF(D29&lt;=37,"",IF(D29&gt;37,"H")))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IF(D30&lt;74,"L",IF(D30&lt;=88,"",IF(D30&gt;88,"H")))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IF(D31&lt;24,"L",IF(D31&lt;=30,"",IF(D31&gt;30,"H")))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IF(D32&lt;31.9,"L",IF(D32&lt;=34.4,"",IF(D32&gt;34.4,"H")))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IF(D33&lt;0,"L",IF(D33&lt;15.3,"",IF(D33&gt;=15.3,"H")))</f>
        <v/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IF(D36&lt;244,"L",IF(D36&lt;=580,"",IF(D36&gt;580,"H")))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IF(D37&lt;8.9,"L",IF(D37&lt;=10.9,"",IF(D37&gt;10.9,"H")))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IF(D42&lt;50,"L",IF(D42&lt;=70,"",IF(D42&gt;=70,"H")))</f>
        <v>L</v>
      </c>
      <c r="G42" s="81" t="s">
        <v>54</v>
      </c>
      <c r="H42" s="80"/>
      <c r="I42" s="82" t="s">
        <v>24</v>
      </c>
      <c r="J42" s="51" t="str">
        <f>IF(H42&lt;1,"L",IF(H42&lt;=7.2,"",IF(H42&gt;7.2,"H")))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IF(D43&lt;20,"L",IF(D43&lt;=60,"",IF(D43&gt;60,"H")))</f>
        <v>L</v>
      </c>
      <c r="G43" s="81" t="s">
        <v>57</v>
      </c>
      <c r="H43" s="80"/>
      <c r="I43" s="82" t="s">
        <v>24</v>
      </c>
      <c r="J43" s="51" t="str">
        <f>IF(H43&lt;2.1,"L",IF(H43&lt;=9,"",IF(H43&gt;9,"H")))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IF(D44&lt;3,"L",IF(D44&lt;=12,"",IF(D44&gt;12,"H")))</f>
        <v>L</v>
      </c>
      <c r="G44" s="84" t="s">
        <v>60</v>
      </c>
      <c r="H44" s="80"/>
      <c r="I44" s="82" t="s">
        <v>24</v>
      </c>
      <c r="J44" s="51" t="str">
        <f>IF(H44&lt;0.2,"L",IF(H44&lt;=1.2,"",IF(H44&gt;1.2,"H")))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IF(D45&lt;0.5,"L",IF(D45&lt;=5,"",IF(D45&gt;5,"H")))</f>
        <v>L</v>
      </c>
      <c r="G45" s="48" t="s">
        <v>63</v>
      </c>
      <c r="H45" s="80"/>
      <c r="I45" s="82" t="s">
        <v>24</v>
      </c>
      <c r="J45" s="51" t="str">
        <f>IF(H45&lt;0,"L",IF(H45&lt;=0.7,"",IF(H45&gt;0.7,"H")))</f>
        <v/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IF(H47&lt;0,"L",IF(H47&lt;=0.1,"",IF(H47&gt;0.1,"H")))</f>
        <v/>
      </c>
      <c r="K47" s="83" t="s">
        <v>67</v>
      </c>
    </row>
    <row r="48" spans="1:11" s="41" customFormat="1" ht="11.25" customHeight="1" thickBot="1" x14ac:dyDescent="0.35">
      <c r="A48" s="86" t="s">
        <v>69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70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71</v>
      </c>
      <c r="E51" s="92" t="s">
        <v>72</v>
      </c>
      <c r="I51" s="92" t="s">
        <v>73</v>
      </c>
    </row>
    <row r="52" spans="1:11" x14ac:dyDescent="0.3">
      <c r="I52" s="93"/>
    </row>
    <row r="53" spans="1:11" x14ac:dyDescent="0.3">
      <c r="A53" s="94" t="s">
        <v>74</v>
      </c>
      <c r="B53" s="94"/>
      <c r="C53" s="94"/>
      <c r="D53" s="94"/>
      <c r="E53" s="94" t="s">
        <v>75</v>
      </c>
      <c r="F53" s="94"/>
      <c r="G53" s="94"/>
      <c r="H53" s="94"/>
      <c r="I53" s="95" t="s">
        <v>76</v>
      </c>
      <c r="J53" s="95"/>
      <c r="K53" s="95"/>
    </row>
    <row r="54" spans="1:11" x14ac:dyDescent="0.3">
      <c r="A54" s="96" t="s">
        <v>77</v>
      </c>
      <c r="B54" s="96"/>
      <c r="C54" s="96"/>
      <c r="D54" s="96"/>
      <c r="E54" s="97" t="s">
        <v>78</v>
      </c>
      <c r="F54" s="97"/>
      <c r="G54" s="97"/>
      <c r="H54" s="97"/>
      <c r="I54" s="97" t="s">
        <v>79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80</v>
      </c>
      <c r="F55" s="97"/>
      <c r="G55" s="97"/>
      <c r="H55" s="97"/>
      <c r="I55" s="97" t="s">
        <v>81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82</v>
      </c>
      <c r="B62" s="99" t="s">
        <v>83</v>
      </c>
    </row>
    <row r="63" spans="1:11" x14ac:dyDescent="0.3">
      <c r="A63" s="100" t="s">
        <v>74</v>
      </c>
      <c r="B63" s="101" t="s">
        <v>84</v>
      </c>
    </row>
    <row r="64" spans="1:11" x14ac:dyDescent="0.3">
      <c r="A64" s="100" t="s">
        <v>85</v>
      </c>
      <c r="B64" s="101" t="s">
        <v>86</v>
      </c>
    </row>
    <row r="65" spans="1:2" x14ac:dyDescent="0.3">
      <c r="A65" t="s">
        <v>87</v>
      </c>
      <c r="B65" t="s">
        <v>88</v>
      </c>
    </row>
    <row r="66" spans="1:2" x14ac:dyDescent="0.3">
      <c r="A66" t="s">
        <v>89</v>
      </c>
      <c r="B66" t="s">
        <v>90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DCD868E2-7C33-4F27-812C-0D7B994B5A45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MF (2m-6m)</vt:lpstr>
      <vt:lpstr>'CBC MF (2m-6m)'!Print_Area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2026-02-01T09:42:10Z</dcterms:created>
  <dcterms:modified xsi:type="dcterms:W3CDTF">2026-02-01T09:42:18Z</dcterms:modified>
</cp:coreProperties>
</file>