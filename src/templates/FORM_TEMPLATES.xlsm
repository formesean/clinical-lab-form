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ana\Downloads\"/>
    </mc:Choice>
  </mc:AlternateContent>
  <xr:revisionPtr revIDLastSave="0" documentId="13_ncr:1_{4A166035-2F3F-4260-817B-099960ABD161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CHEM M (Conv.)" sheetId="19" r:id="rId1"/>
    <sheet name="CHEM M (SI)" sheetId="17" r:id="rId2"/>
    <sheet name="CHEM F (Conv.)" sheetId="20" r:id="rId3"/>
    <sheet name="CHEM F (SI)" sheetId="18" r:id="rId4"/>
    <sheet name="OGTT" sheetId="33" r:id="rId5"/>
    <sheet name="CBC M (&gt;=18y)" sheetId="11" r:id="rId6"/>
    <sheet name="CBC F (&gt;=18y)" sheetId="24" r:id="rId7"/>
    <sheet name="CBC MF (12y-17y)" sheetId="25" r:id="rId8"/>
    <sheet name="CBC MF (6y-11y)" sheetId="26" r:id="rId9"/>
    <sheet name="CBC MF (2y-5y)" sheetId="27" r:id="rId10"/>
    <sheet name="CBC MF (6m-1y)" sheetId="28" r:id="rId11"/>
    <sheet name="CBC MF (2m-6m)" sheetId="29" r:id="rId12"/>
    <sheet name="CBC MF (1m-2m)" sheetId="30" r:id="rId13"/>
    <sheet name="CBC MF (1w-1m)" sheetId="31" r:id="rId14"/>
    <sheet name="CBC MF (&lt;=1w)" sheetId="32" r:id="rId15"/>
    <sheet name="BT M&amp;F " sheetId="23" r:id="rId16"/>
    <sheet name="UA MF" sheetId="8" r:id="rId17"/>
    <sheet name="SE MF" sheetId="9" r:id="rId18"/>
    <sheet name="PT " sheetId="13" r:id="rId19"/>
    <sheet name="OBT MF" sheetId="14" r:id="rId20"/>
    <sheet name="IMMUNO MF" sheetId="10" r:id="rId21"/>
    <sheet name="MICRO MF" sheetId="22" r:id="rId22"/>
  </sheets>
  <definedNames>
    <definedName name="_xlnm.Print_Area" localSheetId="15">'BT M&amp;F '!$A$1:$K$48</definedName>
    <definedName name="_xlnm.Print_Area" localSheetId="6">'CBC F (&gt;=18y)'!$A$1:$K$55</definedName>
    <definedName name="_xlnm.Print_Area" localSheetId="5">'CBC M (&gt;=18y)'!$A$1:$K$55</definedName>
    <definedName name="_xlnm.Print_Area" localSheetId="14">'CBC MF (&lt;=1w)'!$A$1:$K$55</definedName>
    <definedName name="_xlnm.Print_Area" localSheetId="7">'CBC MF (12y-17y)'!$A$1:$K$55</definedName>
    <definedName name="_xlnm.Print_Area" localSheetId="12">'CBC MF (1m-2m)'!$A$1:$K$55</definedName>
    <definedName name="_xlnm.Print_Area" localSheetId="13">'CBC MF (1w-1m)'!$A$1:$K$55</definedName>
    <definedName name="_xlnm.Print_Area" localSheetId="11">'CBC MF (2m-6m)'!$A$1:$K$55</definedName>
    <definedName name="_xlnm.Print_Area" localSheetId="9">'CBC MF (2y-5y)'!$A$1:$K$55</definedName>
    <definedName name="_xlnm.Print_Area" localSheetId="10">'CBC MF (6m-1y)'!$A$1:$K$55</definedName>
    <definedName name="_xlnm.Print_Area" localSheetId="8">'CBC MF (6y-11y)'!$A$1:$K$55</definedName>
    <definedName name="_xlnm.Print_Area" localSheetId="2">'CHEM F (Conv.)'!$A$1:$K$53</definedName>
    <definedName name="_xlnm.Print_Area" localSheetId="3">'CHEM F (SI)'!$A$1:$K$53</definedName>
    <definedName name="_xlnm.Print_Area" localSheetId="0">'CHEM M (Conv.)'!$A$1:$K$53</definedName>
    <definedName name="_xlnm.Print_Area" localSheetId="1">'CHEM M (SI)'!$A$1:$K$53</definedName>
    <definedName name="_xlnm.Print_Area" localSheetId="20">'IMMUNO MF'!$A$1:$K$53</definedName>
    <definedName name="_xlnm.Print_Area" localSheetId="21">'MICRO MF'!$A$1:$K$52</definedName>
    <definedName name="_xlnm.Print_Area" localSheetId="19">'OBT MF'!$A$1:$K$49</definedName>
    <definedName name="_xlnm.Print_Area" localSheetId="4">OGTT!$A$1:$K$41</definedName>
    <definedName name="_xlnm.Print_Area" localSheetId="18">'PT '!$A$1:$K$52</definedName>
    <definedName name="_xlnm.Print_Area" localSheetId="17">'SE MF'!$A$1:$K$52</definedName>
    <definedName name="_xlnm.Print_Area" localSheetId="16">'UA MF'!$A$1:$K$58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52" i="22" l="1"/>
  <c r="A53" i="10"/>
  <c r="A49" i="14"/>
  <c r="A52" i="13"/>
  <c r="A52" i="9"/>
  <c r="A58" i="8"/>
  <c r="A48" i="23"/>
  <c r="A55" i="32"/>
  <c r="A55" i="31"/>
  <c r="A55" i="30"/>
  <c r="A55" i="29"/>
  <c r="A55" i="28"/>
  <c r="A55" i="27"/>
  <c r="A55" i="26"/>
  <c r="A55" i="25"/>
  <c r="A55" i="24"/>
  <c r="A55" i="11"/>
  <c r="A41" i="33"/>
  <c r="A53" i="18"/>
  <c r="A53" i="20"/>
  <c r="A53" i="17"/>
  <c r="A53" i="19"/>
  <c r="J31" i="33" l="1"/>
  <c r="D31" i="33"/>
  <c r="F31" i="33" s="1"/>
  <c r="D18" i="33"/>
  <c r="A20" i="33"/>
  <c r="F20" i="33" s="1"/>
  <c r="D28" i="33"/>
  <c r="F28" i="33" s="1"/>
  <c r="J28" i="33"/>
  <c r="D29" i="33"/>
  <c r="F29" i="33"/>
  <c r="J29" i="33"/>
  <c r="D30" i="33"/>
  <c r="F30" i="33"/>
  <c r="J30" i="33"/>
  <c r="J45" i="18" l="1"/>
  <c r="F45" i="18"/>
  <c r="D45" i="18"/>
  <c r="F45" i="17"/>
  <c r="D45" i="17"/>
  <c r="J45" i="17"/>
  <c r="H45" i="20"/>
  <c r="J45" i="20" s="1"/>
  <c r="F45" i="20"/>
  <c r="H45" i="19"/>
  <c r="J45" i="19" s="1"/>
  <c r="F45" i="19"/>
  <c r="F44" i="20" l="1"/>
  <c r="F43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8" i="20"/>
  <c r="F27" i="20"/>
  <c r="J27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H42" i="18"/>
  <c r="D42" i="18" s="1"/>
  <c r="F42" i="18" s="1"/>
  <c r="F44" i="19" l="1"/>
  <c r="F43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8" i="19"/>
  <c r="F27" i="19"/>
  <c r="J27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F42" i="17"/>
  <c r="H42" i="17"/>
  <c r="D42" i="17" s="1"/>
  <c r="F33" i="25" l="1"/>
  <c r="F33" i="26"/>
  <c r="F33" i="27"/>
  <c r="F33" i="28"/>
  <c r="F33" i="29"/>
  <c r="F33" i="30"/>
  <c r="F33" i="31"/>
  <c r="F33" i="32"/>
  <c r="J47" i="32"/>
  <c r="J45" i="32"/>
  <c r="J44" i="32"/>
  <c r="J43" i="32"/>
  <c r="J42" i="32"/>
  <c r="F37" i="32"/>
  <c r="F36" i="32"/>
  <c r="F32" i="32"/>
  <c r="F31" i="32"/>
  <c r="F30" i="32"/>
  <c r="F29" i="32"/>
  <c r="F28" i="32"/>
  <c r="F27" i="32"/>
  <c r="F26" i="32"/>
  <c r="F47" i="32"/>
  <c r="J46" i="32"/>
  <c r="F46" i="32"/>
  <c r="F45" i="32"/>
  <c r="F44" i="32"/>
  <c r="F43" i="32"/>
  <c r="F42" i="32"/>
  <c r="A20" i="32"/>
  <c r="F20" i="32" s="1"/>
  <c r="D18" i="32"/>
  <c r="J47" i="31"/>
  <c r="J45" i="31"/>
  <c r="J44" i="31"/>
  <c r="J43" i="31"/>
  <c r="J42" i="31"/>
  <c r="F44" i="31"/>
  <c r="F43" i="31"/>
  <c r="F42" i="31"/>
  <c r="F37" i="31"/>
  <c r="F36" i="31"/>
  <c r="F32" i="31"/>
  <c r="F31" i="31"/>
  <c r="F30" i="31"/>
  <c r="F29" i="31"/>
  <c r="F28" i="31"/>
  <c r="F27" i="31"/>
  <c r="F26" i="31"/>
  <c r="F47" i="31"/>
  <c r="J46" i="31"/>
  <c r="F46" i="31"/>
  <c r="F45" i="31"/>
  <c r="F20" i="31"/>
  <c r="A20" i="31"/>
  <c r="D18" i="31"/>
  <c r="J45" i="30"/>
  <c r="J44" i="30"/>
  <c r="J43" i="30"/>
  <c r="J42" i="30"/>
  <c r="F37" i="30"/>
  <c r="F36" i="30"/>
  <c r="F32" i="30"/>
  <c r="F31" i="30"/>
  <c r="F30" i="30"/>
  <c r="F29" i="30"/>
  <c r="F28" i="30"/>
  <c r="F27" i="30"/>
  <c r="F26" i="30"/>
  <c r="J47" i="30"/>
  <c r="F47" i="30"/>
  <c r="J46" i="30"/>
  <c r="F46" i="30"/>
  <c r="F45" i="30"/>
  <c r="F44" i="30"/>
  <c r="F43" i="30"/>
  <c r="F42" i="30"/>
  <c r="A20" i="30"/>
  <c r="F20" i="30" s="1"/>
  <c r="D18" i="30"/>
  <c r="J45" i="29"/>
  <c r="J43" i="29"/>
  <c r="J42" i="29"/>
  <c r="F37" i="29"/>
  <c r="F36" i="29"/>
  <c r="F32" i="29"/>
  <c r="F31" i="29"/>
  <c r="F30" i="29"/>
  <c r="F29" i="29"/>
  <c r="F28" i="29"/>
  <c r="F27" i="29"/>
  <c r="F26" i="29"/>
  <c r="J47" i="29"/>
  <c r="F47" i="29"/>
  <c r="J46" i="29"/>
  <c r="F46" i="29"/>
  <c r="F45" i="29"/>
  <c r="J44" i="29"/>
  <c r="F44" i="29"/>
  <c r="F43" i="29"/>
  <c r="F42" i="29"/>
  <c r="A20" i="29"/>
  <c r="F20" i="29" s="1"/>
  <c r="D18" i="29"/>
  <c r="J45" i="28"/>
  <c r="J44" i="28"/>
  <c r="J43" i="28"/>
  <c r="J42" i="28"/>
  <c r="F37" i="28"/>
  <c r="F36" i="28"/>
  <c r="F32" i="28"/>
  <c r="F31" i="28"/>
  <c r="F30" i="28"/>
  <c r="F28" i="28"/>
  <c r="F27" i="28"/>
  <c r="F26" i="28"/>
  <c r="J47" i="28" l="1"/>
  <c r="F47" i="28"/>
  <c r="J46" i="28"/>
  <c r="F46" i="28"/>
  <c r="F45" i="28"/>
  <c r="F44" i="28"/>
  <c r="F43" i="28"/>
  <c r="F42" i="28"/>
  <c r="F29" i="28"/>
  <c r="A20" i="28"/>
  <c r="F20" i="28" s="1"/>
  <c r="D18" i="28"/>
  <c r="J43" i="27"/>
  <c r="J42" i="27"/>
  <c r="F37" i="27"/>
  <c r="F36" i="27"/>
  <c r="F32" i="27"/>
  <c r="F31" i="27"/>
  <c r="F30" i="27"/>
  <c r="F29" i="27"/>
  <c r="F28" i="27"/>
  <c r="F27" i="27"/>
  <c r="F26" i="27"/>
  <c r="J47" i="27"/>
  <c r="F47" i="27"/>
  <c r="J46" i="27"/>
  <c r="F46" i="27"/>
  <c r="J45" i="27"/>
  <c r="F45" i="27"/>
  <c r="J44" i="27"/>
  <c r="F44" i="27"/>
  <c r="F43" i="27"/>
  <c r="F42" i="27"/>
  <c r="A20" i="27"/>
  <c r="F20" i="27" s="1"/>
  <c r="D18" i="27"/>
  <c r="J45" i="26"/>
  <c r="J44" i="26"/>
  <c r="J43" i="26"/>
  <c r="J42" i="26"/>
  <c r="F37" i="26"/>
  <c r="F36" i="26"/>
  <c r="F32" i="26"/>
  <c r="F31" i="26"/>
  <c r="F30" i="26"/>
  <c r="F29" i="26"/>
  <c r="F28" i="26"/>
  <c r="F27" i="26"/>
  <c r="F26" i="26"/>
  <c r="J47" i="26"/>
  <c r="F47" i="26"/>
  <c r="J46" i="26"/>
  <c r="F46" i="26"/>
  <c r="F45" i="26"/>
  <c r="F44" i="26"/>
  <c r="F43" i="26"/>
  <c r="F42" i="26"/>
  <c r="F20" i="26"/>
  <c r="A20" i="26"/>
  <c r="D18" i="26"/>
  <c r="J45" i="25"/>
  <c r="J44" i="25"/>
  <c r="J43" i="25"/>
  <c r="J42" i="25"/>
  <c r="F45" i="25"/>
  <c r="F44" i="25"/>
  <c r="F43" i="25"/>
  <c r="F42" i="25"/>
  <c r="F37" i="25"/>
  <c r="F36" i="25"/>
  <c r="F32" i="25"/>
  <c r="F31" i="25"/>
  <c r="F30" i="25"/>
  <c r="F29" i="25"/>
  <c r="F28" i="25"/>
  <c r="F27" i="25"/>
  <c r="F26" i="25"/>
  <c r="J47" i="25"/>
  <c r="F47" i="25"/>
  <c r="J46" i="25"/>
  <c r="F46" i="25"/>
  <c r="A20" i="25"/>
  <c r="F20" i="25" s="1"/>
  <c r="D18" i="25"/>
  <c r="F33" i="24"/>
  <c r="F32" i="24"/>
  <c r="F31" i="24"/>
  <c r="F30" i="24"/>
  <c r="F29" i="24"/>
  <c r="F28" i="24"/>
  <c r="F27" i="24"/>
  <c r="J47" i="24"/>
  <c r="F47" i="24"/>
  <c r="J46" i="24"/>
  <c r="F46" i="24"/>
  <c r="J45" i="24"/>
  <c r="F45" i="24"/>
  <c r="J44" i="24"/>
  <c r="F44" i="24"/>
  <c r="J43" i="24"/>
  <c r="F43" i="24"/>
  <c r="J42" i="24"/>
  <c r="F42" i="24"/>
  <c r="F37" i="24"/>
  <c r="F36" i="24"/>
  <c r="F26" i="24"/>
  <c r="A20" i="24"/>
  <c r="F20" i="24" s="1"/>
  <c r="D18" i="24"/>
  <c r="J47" i="11"/>
  <c r="J46" i="11"/>
  <c r="J45" i="11"/>
  <c r="J44" i="11"/>
  <c r="J43" i="11"/>
  <c r="J42" i="11"/>
  <c r="F46" i="11"/>
  <c r="F47" i="11"/>
  <c r="F45" i="11"/>
  <c r="F44" i="11"/>
  <c r="F43" i="11"/>
  <c r="F42" i="11"/>
  <c r="F37" i="11"/>
  <c r="F36" i="11"/>
  <c r="F33" i="11"/>
  <c r="F32" i="11"/>
  <c r="F31" i="11"/>
  <c r="F30" i="11"/>
  <c r="F29" i="11"/>
  <c r="F28" i="11"/>
  <c r="F27" i="11"/>
  <c r="F26" i="11"/>
  <c r="D12" i="23"/>
  <c r="D19" i="23"/>
  <c r="F21" i="22"/>
  <c r="A21" i="22"/>
  <c r="D19" i="22"/>
  <c r="D44" i="18"/>
  <c r="F44" i="18" s="1"/>
  <c r="H44" i="20"/>
  <c r="J44" i="20" s="1"/>
  <c r="D44" i="17"/>
  <c r="F44" i="17" s="1"/>
  <c r="D43" i="17"/>
  <c r="F43" i="17" s="1"/>
  <c r="H44" i="19"/>
  <c r="J44" i="19" s="1"/>
  <c r="D43" i="18"/>
  <c r="F43" i="18" s="1"/>
  <c r="D41" i="18"/>
  <c r="F41" i="18" s="1"/>
  <c r="D40" i="18"/>
  <c r="F40" i="18" s="1"/>
  <c r="D39" i="18"/>
  <c r="F39" i="18" s="1"/>
  <c r="D38" i="18"/>
  <c r="F38" i="18" s="1"/>
  <c r="D37" i="18"/>
  <c r="F37" i="18" s="1"/>
  <c r="D36" i="18"/>
  <c r="F36" i="18" s="1"/>
  <c r="D35" i="18"/>
  <c r="F35" i="18" s="1"/>
  <c r="D34" i="18"/>
  <c r="F34" i="18" s="1"/>
  <c r="D33" i="18"/>
  <c r="F33" i="18" s="1"/>
  <c r="D32" i="18"/>
  <c r="F32" i="18" s="1"/>
  <c r="D31" i="18"/>
  <c r="F31" i="18" s="1"/>
  <c r="D30" i="18"/>
  <c r="F30" i="18" s="1"/>
  <c r="D28" i="18"/>
  <c r="F28" i="18" s="1"/>
  <c r="D27" i="18"/>
  <c r="F27" i="18" s="1"/>
  <c r="H36" i="20"/>
  <c r="J36" i="20" s="1"/>
  <c r="H36" i="19"/>
  <c r="J36" i="19" s="1"/>
  <c r="H35" i="20"/>
  <c r="J35" i="20" s="1"/>
  <c r="H34" i="20"/>
  <c r="J34" i="20" s="1"/>
  <c r="H33" i="20"/>
  <c r="J33" i="20" s="1"/>
  <c r="H32" i="20"/>
  <c r="J32" i="20" s="1"/>
  <c r="H31" i="20"/>
  <c r="J31" i="20" s="1"/>
  <c r="H30" i="20"/>
  <c r="J30" i="20" s="1"/>
  <c r="H28" i="20"/>
  <c r="J28" i="20" s="1"/>
  <c r="H27" i="20"/>
  <c r="J27" i="20" s="1"/>
  <c r="D41" i="17"/>
  <c r="F41" i="17" s="1"/>
  <c r="D40" i="17"/>
  <c r="F40" i="17" s="1"/>
  <c r="D37" i="17"/>
  <c r="F37" i="17" s="1"/>
  <c r="D36" i="17"/>
  <c r="F36" i="17" s="1"/>
  <c r="D35" i="17"/>
  <c r="F35" i="17" s="1"/>
  <c r="D34" i="17"/>
  <c r="F34" i="17" s="1"/>
  <c r="D33" i="17"/>
  <c r="F33" i="17" s="1"/>
  <c r="D32" i="17"/>
  <c r="F32" i="17" s="1"/>
  <c r="D31" i="17"/>
  <c r="F31" i="17" s="1"/>
  <c r="D30" i="17"/>
  <c r="F30" i="17" s="1"/>
  <c r="D28" i="17"/>
  <c r="D27" i="17"/>
  <c r="F27" i="17" s="1"/>
  <c r="D39" i="17"/>
  <c r="F39" i="17" s="1"/>
  <c r="D38" i="17"/>
  <c r="F38" i="17" s="1"/>
  <c r="H37" i="19"/>
  <c r="J37" i="19" s="1"/>
  <c r="H35" i="19"/>
  <c r="J35" i="19" s="1"/>
  <c r="H34" i="19"/>
  <c r="J34" i="19" s="1"/>
  <c r="H33" i="19"/>
  <c r="J33" i="19" s="1"/>
  <c r="H32" i="19"/>
  <c r="J32" i="19" s="1"/>
  <c r="H31" i="19"/>
  <c r="J31" i="19" s="1"/>
  <c r="H30" i="19"/>
  <c r="J30" i="19" s="1"/>
  <c r="H28" i="19"/>
  <c r="J28" i="19" s="1"/>
  <c r="H27" i="19"/>
  <c r="J27" i="19" s="1"/>
  <c r="J28" i="18"/>
  <c r="J28" i="17"/>
  <c r="H43" i="20"/>
  <c r="J43" i="20" s="1"/>
  <c r="H41" i="20"/>
  <c r="J41" i="20" s="1"/>
  <c r="H40" i="20"/>
  <c r="H39" i="20"/>
  <c r="J39" i="20" s="1"/>
  <c r="H38" i="20"/>
  <c r="J38" i="20" s="1"/>
  <c r="H37" i="20"/>
  <c r="J37" i="20" s="1"/>
  <c r="A20" i="20"/>
  <c r="F20" i="20"/>
  <c r="D18" i="20"/>
  <c r="D12" i="20"/>
  <c r="H43" i="19"/>
  <c r="J43" i="19" s="1"/>
  <c r="H41" i="19"/>
  <c r="J41" i="19" s="1"/>
  <c r="H40" i="19"/>
  <c r="H39" i="19"/>
  <c r="J39" i="19" s="1"/>
  <c r="H38" i="19"/>
  <c r="J38" i="19" s="1"/>
  <c r="A20" i="19"/>
  <c r="F20" i="19"/>
  <c r="D18" i="19"/>
  <c r="D12" i="19"/>
  <c r="D12" i="18"/>
  <c r="D18" i="18"/>
  <c r="A20" i="18"/>
  <c r="F20" i="18"/>
  <c r="D12" i="17"/>
  <c r="D18" i="17"/>
  <c r="A20" i="17"/>
  <c r="F20" i="17"/>
  <c r="F28" i="17"/>
  <c r="A21" i="10"/>
  <c r="F21" i="10" s="1"/>
  <c r="D19" i="10"/>
  <c r="A21" i="14"/>
  <c r="F21" i="14"/>
  <c r="D19" i="14"/>
  <c r="A21" i="13"/>
  <c r="F21" i="13"/>
  <c r="D19" i="13"/>
  <c r="A21" i="9"/>
  <c r="F21" i="9" s="1"/>
  <c r="D19" i="9"/>
  <c r="A20" i="8"/>
  <c r="F20" i="8" s="1"/>
  <c r="D18" i="8"/>
  <c r="A20" i="11"/>
  <c r="F20" i="11" s="1"/>
  <c r="D18" i="11"/>
  <c r="H42" i="20" l="1"/>
  <c r="J40" i="20"/>
  <c r="J40" i="19"/>
  <c r="H42" i="19"/>
  <c r="D42" i="20" l="1"/>
  <c r="F42" i="20" s="1"/>
  <c r="J42" i="20"/>
  <c r="J42" i="19"/>
  <c r="D42" i="19"/>
  <c r="F42" i="19" s="1"/>
</calcChain>
</file>

<file path=xl/sharedStrings.xml><?xml version="1.0" encoding="utf-8"?>
<sst xmlns="http://schemas.openxmlformats.org/spreadsheetml/2006/main" count="2625" uniqueCount="635">
  <si>
    <t xml:space="preserve">LABORATORY TEST RESULTS </t>
  </si>
  <si>
    <t>Laboratory ID No.:</t>
  </si>
  <si>
    <t>Patient ID No.:</t>
  </si>
  <si>
    <t>Age:</t>
  </si>
  <si>
    <t>Sex:</t>
  </si>
  <si>
    <t>Name of Requesting Phyisician:</t>
  </si>
  <si>
    <t>Patient's Last Name</t>
  </si>
  <si>
    <t>Patient's First Name</t>
  </si>
  <si>
    <t>Patient's Middle Name</t>
  </si>
  <si>
    <t>RESULT</t>
  </si>
  <si>
    <t>UNIT</t>
  </si>
  <si>
    <t>REFERENCE RANGE</t>
  </si>
  <si>
    <t>This is an electronically generated result. Please correlate the results clinically.</t>
  </si>
  <si>
    <t xml:space="preserve">REMARKS: </t>
  </si>
  <si>
    <t>Performed:</t>
  </si>
  <si>
    <t>Medical Technologist</t>
  </si>
  <si>
    <t>Verified:</t>
  </si>
  <si>
    <t>Approved:</t>
  </si>
  <si>
    <t>TEST PARAMETER</t>
  </si>
  <si>
    <r>
      <t>Date &amp; Time Released:</t>
    </r>
    <r>
      <rPr>
        <i/>
        <sz val="11"/>
        <color theme="1"/>
        <rFont val="Times New Roman"/>
        <family val="1"/>
      </rPr>
      <t xml:space="preserve"> </t>
    </r>
    <r>
      <rPr>
        <i/>
        <sz val="9"/>
        <color theme="1"/>
        <rFont val="Times New Roman"/>
        <family val="1"/>
      </rPr>
      <t>dd/mmm/yyyy hh:mm</t>
    </r>
  </si>
  <si>
    <r>
      <t>Date &amp; Time Performed:</t>
    </r>
    <r>
      <rPr>
        <i/>
        <sz val="11"/>
        <color theme="1"/>
        <rFont val="Times New Roman"/>
        <family val="1"/>
      </rPr>
      <t xml:space="preserve"> </t>
    </r>
    <r>
      <rPr>
        <i/>
        <sz val="9"/>
        <color theme="1"/>
        <rFont val="Times New Roman"/>
        <family val="1"/>
      </rPr>
      <t>dd/mmm/yyyy hh:mm</t>
    </r>
  </si>
  <si>
    <t>Location:</t>
  </si>
  <si>
    <t>RAMON BRYAN A. ABELLA, RMT</t>
  </si>
  <si>
    <t>Lic. No. 0081395</t>
  </si>
  <si>
    <t>FLAG</t>
  </si>
  <si>
    <t>PHILL JUSTIN G. GALAROZA, RMT</t>
  </si>
  <si>
    <t>Lic. No. 0068902</t>
  </si>
  <si>
    <t>MALE</t>
  </si>
  <si>
    <t>Female</t>
  </si>
  <si>
    <t>HEMATOLOGY</t>
  </si>
  <si>
    <t>COMPLETE BLOOD COUNT</t>
  </si>
  <si>
    <t>%</t>
  </si>
  <si>
    <t>pg</t>
  </si>
  <si>
    <t>CLINICAL CHEMISTRY</t>
  </si>
  <si>
    <t>Fasting Blood Sugar (FBS)</t>
  </si>
  <si>
    <t>mmol/L</t>
  </si>
  <si>
    <t>3.50-5.50</t>
  </si>
  <si>
    <t>Random Blood Sugar (RBS)</t>
  </si>
  <si>
    <t>LIPID PROFILE:</t>
  </si>
  <si>
    <t>Total Cholesterol</t>
  </si>
  <si>
    <t>HDL</t>
  </si>
  <si>
    <t>LDL</t>
  </si>
  <si>
    <t>£2.59</t>
  </si>
  <si>
    <t>VLDL</t>
  </si>
  <si>
    <t>0.05-0.80</t>
  </si>
  <si>
    <t>Triglycerides</t>
  </si>
  <si>
    <t>Creatinine</t>
  </si>
  <si>
    <t>µmol/L</t>
  </si>
  <si>
    <t>Blood Urea Nitrogen (BUN)</t>
  </si>
  <si>
    <t>Blood Uric Acid (BUA)</t>
  </si>
  <si>
    <t>SGPT/ ALT</t>
  </si>
  <si>
    <t>U/L</t>
  </si>
  <si>
    <t>SGOT/AST</t>
  </si>
  <si>
    <t>Total Bilirubin</t>
  </si>
  <si>
    <t>Direct Bilirubin</t>
  </si>
  <si>
    <t>GGT</t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</si>
  <si>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5.13</t>
    </r>
  </si>
  <si>
    <t>FEMALE</t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</si>
  <si>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34</t>
    </r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</si>
  <si>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31</t>
    </r>
  </si>
  <si>
    <t>9.0-39.0</t>
  </si>
  <si>
    <r>
      <t xml:space="preserve">       White Blood Cell</t>
    </r>
    <r>
      <rPr>
        <b/>
        <sz val="10"/>
        <color theme="1"/>
        <rFont val="Times New Roman"/>
        <family val="1"/>
      </rPr>
      <t xml:space="preserve"> (WBC)</t>
    </r>
  </si>
  <si>
    <r>
      <t xml:space="preserve">        Red Blood Cell</t>
    </r>
    <r>
      <rPr>
        <b/>
        <sz val="10"/>
        <color theme="1"/>
        <rFont val="Times New Roman"/>
        <family val="1"/>
      </rPr>
      <t xml:space="preserve"> (RBC)</t>
    </r>
  </si>
  <si>
    <r>
      <t xml:space="preserve">        Hemoglobin</t>
    </r>
    <r>
      <rPr>
        <b/>
        <sz val="10"/>
        <color theme="1"/>
        <rFont val="Times New Roman"/>
        <family val="1"/>
      </rPr>
      <t xml:space="preserve"> </t>
    </r>
  </si>
  <si>
    <r>
      <t xml:space="preserve">        Hematocrit</t>
    </r>
    <r>
      <rPr>
        <b/>
        <sz val="10"/>
        <color theme="1"/>
        <rFont val="Times New Roman"/>
        <family val="1"/>
      </rPr>
      <t xml:space="preserve"> </t>
    </r>
  </si>
  <si>
    <r>
      <t xml:space="preserve">        Platelet Count</t>
    </r>
    <r>
      <rPr>
        <b/>
        <sz val="10"/>
        <color theme="1"/>
        <rFont val="Times New Roman"/>
        <family val="1"/>
      </rPr>
      <t xml:space="preserve"> </t>
    </r>
  </si>
  <si>
    <r>
      <rPr>
        <sz val="11"/>
        <color theme="1"/>
        <rFont val="Times New Roman"/>
        <family val="1"/>
      </rPr>
      <t>Date &amp; Time Performed:</t>
    </r>
    <r>
      <rPr>
        <i/>
        <sz val="11"/>
        <color theme="1"/>
        <rFont val="Times New Roman"/>
        <family val="1"/>
      </rPr>
      <t xml:space="preserve"> </t>
    </r>
    <r>
      <rPr>
        <i/>
        <sz val="9"/>
        <color theme="1"/>
        <rFont val="Times New Roman"/>
        <family val="1"/>
      </rPr>
      <t>dd/mmm/yyyy hh:mm</t>
    </r>
  </si>
  <si>
    <r>
      <rPr>
        <sz val="11"/>
        <color theme="1"/>
        <rFont val="Times New Roman"/>
        <family val="1"/>
      </rPr>
      <t>Date &amp; Time Released:</t>
    </r>
    <r>
      <rPr>
        <i/>
        <sz val="11"/>
        <color theme="1"/>
        <rFont val="Times New Roman"/>
        <family val="1"/>
      </rPr>
      <t xml:space="preserve"> </t>
    </r>
    <r>
      <rPr>
        <i/>
        <sz val="9"/>
        <color theme="1"/>
        <rFont val="Times New Roman"/>
        <family val="1"/>
      </rPr>
      <t>dd/mmm/yyyy hh:mm</t>
    </r>
  </si>
  <si>
    <t>CLINICAL MICROSCOPY</t>
  </si>
  <si>
    <t>URINALYSIS</t>
  </si>
  <si>
    <t>PHYSICAL EXAMINATION</t>
  </si>
  <si>
    <t>CHEMICAL EXAMINATION</t>
  </si>
  <si>
    <t>pH</t>
  </si>
  <si>
    <t>Color</t>
  </si>
  <si>
    <t>Specific Gravity</t>
  </si>
  <si>
    <t>Leukocytes</t>
  </si>
  <si>
    <t>Nitrite</t>
  </si>
  <si>
    <t>Protein</t>
  </si>
  <si>
    <t>Urobilinogen</t>
  </si>
  <si>
    <t>Blood</t>
  </si>
  <si>
    <t>Ketones</t>
  </si>
  <si>
    <t>Bilirubin</t>
  </si>
  <si>
    <t>Glucose</t>
  </si>
  <si>
    <t>MICROSCOPIC EXAMINATION</t>
  </si>
  <si>
    <t>White Blood Cells (WBC)</t>
  </si>
  <si>
    <t>Red Blood Cells (RBC)</t>
  </si>
  <si>
    <t>Epithelial Cells</t>
  </si>
  <si>
    <t>Mucus Threads</t>
  </si>
  <si>
    <t>Bacteria</t>
  </si>
  <si>
    <t>YELLOW</t>
  </si>
  <si>
    <t>CLEAR</t>
  </si>
  <si>
    <t>NEGATIVE</t>
  </si>
  <si>
    <t>1.010</t>
  </si>
  <si>
    <t>RARE</t>
  </si>
  <si>
    <t>FEW</t>
  </si>
  <si>
    <t>*</t>
  </si>
  <si>
    <t>Up to 2.0</t>
  </si>
  <si>
    <t>RBC/uL</t>
  </si>
  <si>
    <t>mg/dL</t>
  </si>
  <si>
    <t>STOOL EXAM</t>
  </si>
  <si>
    <t>Others</t>
  </si>
  <si>
    <t>FECAL OCCULT BLOOD TEST</t>
  </si>
  <si>
    <t>PREGNANCY TEST</t>
  </si>
  <si>
    <t xml:space="preserve">IMMUNOLOGY-SEROLOGY </t>
  </si>
  <si>
    <t>/ HPF</t>
  </si>
  <si>
    <t>/ LPF</t>
  </si>
  <si>
    <t>HBsAg</t>
  </si>
  <si>
    <t>anti - HCV</t>
  </si>
  <si>
    <t>Dengue Duo</t>
  </si>
  <si>
    <t>Human Immunodefiency Virus</t>
  </si>
  <si>
    <t>Hepatitis B</t>
  </si>
  <si>
    <t>Hepatitis C</t>
  </si>
  <si>
    <t>Syphilis</t>
  </si>
  <si>
    <t>Pathologist</t>
  </si>
  <si>
    <t>g/dL</t>
  </si>
  <si>
    <t>fL</t>
  </si>
  <si>
    <t xml:space="preserve">     MPV</t>
  </si>
  <si>
    <t>£5.20</t>
  </si>
  <si>
    <t>&gt;0.90</t>
  </si>
  <si>
    <t>&gt;1.15</t>
  </si>
  <si>
    <t>ALMA E. MALILONG, MD, FPSP</t>
  </si>
  <si>
    <t>Lic. No. 0045935</t>
  </si>
  <si>
    <t>11.00-61.00</t>
  </si>
  <si>
    <r>
      <rPr>
        <sz val="10"/>
        <color theme="1"/>
        <rFont val="Calibri"/>
        <family val="2"/>
      </rPr>
      <t>≤</t>
    </r>
    <r>
      <rPr>
        <sz val="10"/>
        <color theme="1"/>
        <rFont val="Times New Roman"/>
        <family val="1"/>
      </rPr>
      <t>0.30</t>
    </r>
  </si>
  <si>
    <t>2.00-21.00</t>
  </si>
  <si>
    <t>0.10-1.20</t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</si>
  <si>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35.00</t>
    </r>
  </si>
  <si>
    <t>≤35.00</t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</si>
  <si>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45</t>
    </r>
    <r>
      <rPr>
        <sz val="10"/>
        <color theme="1"/>
        <rFont val="Times New Roman"/>
        <family val="1"/>
        <charset val="2"/>
      </rPr>
      <t>.00</t>
    </r>
  </si>
  <si>
    <t>≤45.00</t>
  </si>
  <si>
    <t>214.00-488.00</t>
  </si>
  <si>
    <t>3.60-8.20</t>
  </si>
  <si>
    <t>2.80-7.20</t>
  </si>
  <si>
    <t>16.87-43.37</t>
  </si>
  <si>
    <t>70.00-115.00</t>
  </si>
  <si>
    <t>0.80-1.30</t>
  </si>
  <si>
    <t>£2.30</t>
  </si>
  <si>
    <r>
      <rPr>
        <sz val="10"/>
        <color theme="1"/>
        <rFont val="Calibri"/>
        <family val="2"/>
      </rPr>
      <t>≤</t>
    </r>
    <r>
      <rPr>
        <sz val="10"/>
        <color theme="1"/>
        <rFont val="Times New Roman"/>
        <family val="1"/>
      </rPr>
      <t>203.54</t>
    </r>
  </si>
  <si>
    <t>1.90-30.76</t>
  </si>
  <si>
    <r>
      <rPr>
        <sz val="10"/>
        <color theme="1"/>
        <rFont val="Calibri"/>
        <family val="2"/>
      </rPr>
      <t>≤</t>
    </r>
    <r>
      <rPr>
        <sz val="10"/>
        <color theme="1"/>
        <rFont val="Times New Roman"/>
        <family val="1"/>
      </rPr>
      <t>99.60</t>
    </r>
  </si>
  <si>
    <t>&gt;34.60</t>
  </si>
  <si>
    <r>
      <rPr>
        <sz val="10"/>
        <color theme="1"/>
        <rFont val="Calibri"/>
        <family val="2"/>
      </rPr>
      <t>≤</t>
    </r>
    <r>
      <rPr>
        <sz val="10"/>
        <color theme="1"/>
        <rFont val="Times New Roman"/>
        <family val="1"/>
      </rPr>
      <t>200.77</t>
    </r>
  </si>
  <si>
    <t>&lt;11.10</t>
  </si>
  <si>
    <t>&lt;200.00</t>
  </si>
  <si>
    <t>60.00-100.00</t>
  </si>
  <si>
    <t>SI UNIT</t>
  </si>
  <si>
    <t>CONVENTIONAL UNIT</t>
  </si>
  <si>
    <t>9.00-39.00</t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</si>
  <si>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31.00</t>
    </r>
  </si>
  <si>
    <r>
      <rPr>
        <sz val="10"/>
        <color theme="1"/>
        <rFont val="Symbol"/>
        <family val="1"/>
        <charset val="2"/>
      </rPr>
      <t>£</t>
    </r>
    <r>
      <rPr>
        <sz val="10"/>
        <color theme="1"/>
        <rFont val="Times New Roman"/>
        <family val="1"/>
      </rPr>
      <t>34.00</t>
    </r>
  </si>
  <si>
    <t>137.00-363.00</t>
  </si>
  <si>
    <t>2.30-6.10</t>
  </si>
  <si>
    <t>44.00-80.00</t>
  </si>
  <si>
    <t>0.50-0.90</t>
  </si>
  <si>
    <t>&gt;44.20</t>
  </si>
  <si>
    <t>6.0</t>
  </si>
  <si>
    <t>0 - 2</t>
  </si>
  <si>
    <t>NONE TO FEW</t>
  </si>
  <si>
    <t>4.6 - 8.0</t>
  </si>
  <si>
    <t>1.005 - 1.030</t>
  </si>
  <si>
    <t>RHIAN JESS E. CANILLAS, RMT</t>
  </si>
  <si>
    <t>Lic. No. 0060939</t>
  </si>
  <si>
    <t>ALP</t>
  </si>
  <si>
    <t>30.00-120.00</t>
  </si>
  <si>
    <t>MICROBIOLOGY</t>
  </si>
  <si>
    <t>GRAM STAIN</t>
  </si>
  <si>
    <t>POSITIVE</t>
  </si>
  <si>
    <t>Rh</t>
  </si>
  <si>
    <t>"O"</t>
  </si>
  <si>
    <t>ABO</t>
  </si>
  <si>
    <t>BLOOD TYPING</t>
  </si>
  <si>
    <t>ROLDAN A. CUBILLO, RMT, MPH, MMHoA</t>
  </si>
  <si>
    <t>Chief Medical Technologist</t>
  </si>
  <si>
    <t>Lic. No. 0032751</t>
  </si>
  <si>
    <t>4.0 - 11.0</t>
  </si>
  <si>
    <t>4.2 - 6.1</t>
  </si>
  <si>
    <t>13.5 - 17.5</t>
  </si>
  <si>
    <t>40.0 - 52.0</t>
  </si>
  <si>
    <t xml:space="preserve">        MCV</t>
  </si>
  <si>
    <t xml:space="preserve">        MCH</t>
  </si>
  <si>
    <t xml:space="preserve">        MCHC</t>
  </si>
  <si>
    <t xml:space="preserve">        RDW</t>
  </si>
  <si>
    <t>79.0 - 92.0</t>
  </si>
  <si>
    <t>25.7 - 32.2</t>
  </si>
  <si>
    <t>32.3 - 36.5</t>
  </si>
  <si>
    <t>11.8 - 14.5</t>
  </si>
  <si>
    <t>BLOOD COUNT AND INDICES</t>
  </si>
  <si>
    <t>PLATELET COUNT</t>
  </si>
  <si>
    <t>150.0 - 400.0</t>
  </si>
  <si>
    <t>8.0 - 12.0</t>
  </si>
  <si>
    <t xml:space="preserve">       Neutrophil</t>
  </si>
  <si>
    <t xml:space="preserve">       Lymphocyte</t>
  </si>
  <si>
    <t xml:space="preserve">       Monocyte</t>
  </si>
  <si>
    <t xml:space="preserve">       Eosinophil</t>
  </si>
  <si>
    <t xml:space="preserve">       Basophil</t>
  </si>
  <si>
    <t xml:space="preserve">       Immature Granulocyte</t>
  </si>
  <si>
    <t>RELATIVE COUNT</t>
  </si>
  <si>
    <t>ABSOLUTE COUNT</t>
  </si>
  <si>
    <t>x10^9/L</t>
  </si>
  <si>
    <t>x10^12/L</t>
  </si>
  <si>
    <t>44.0 - 68.0</t>
  </si>
  <si>
    <t>20.0 - 40.0</t>
  </si>
  <si>
    <t>2.0 - 10.0</t>
  </si>
  <si>
    <t>1.0 - 6.0</t>
  </si>
  <si>
    <t>0.0 - 1.0</t>
  </si>
  <si>
    <t>1.6 - 6.1</t>
  </si>
  <si>
    <t>1.2 - 3.9</t>
  </si>
  <si>
    <t>0.3 - 0.9</t>
  </si>
  <si>
    <t>0.0 - 0.5</t>
  </si>
  <si>
    <t>0.0 - 0.1</t>
  </si>
  <si>
    <t>WBC DIFFERENTIAL COUNT</t>
  </si>
  <si>
    <t>4.5 - 5.1</t>
  </si>
  <si>
    <t>12.3 - 15.3</t>
  </si>
  <si>
    <t>35.9 - 44.6</t>
  </si>
  <si>
    <t>80.0 - 96.0</t>
  </si>
  <si>
    <t>27.5 - 33.2</t>
  </si>
  <si>
    <t>33.4 - 35.5</t>
  </si>
  <si>
    <t>11.5 - 14.5</t>
  </si>
  <si>
    <t>3.8 - 9.8</t>
  </si>
  <si>
    <t>3.9 - 5.3</t>
  </si>
  <si>
    <t>10.8 - 14.5</t>
  </si>
  <si>
    <t>33.0 - 44.0</t>
  </si>
  <si>
    <t>77.0 - 91.0</t>
  </si>
  <si>
    <t>25.0 - 30.0</t>
  </si>
  <si>
    <t>31.5 - 34.8</t>
  </si>
  <si>
    <t>&lt;14.6</t>
  </si>
  <si>
    <t>175.0 - 345.0</t>
  </si>
  <si>
    <t>9.6 - 11.8</t>
  </si>
  <si>
    <t>1.5 - 7.5</t>
  </si>
  <si>
    <t>1.0 - 3.3</t>
  </si>
  <si>
    <t>0.2 - 0.8</t>
  </si>
  <si>
    <t>0.0 - 0.4</t>
  </si>
  <si>
    <t>50.0 - 70.0</t>
  </si>
  <si>
    <t>20.0 - 60.0</t>
  </si>
  <si>
    <t>3.0 - 12.0</t>
  </si>
  <si>
    <t>0.5 - 5.0</t>
  </si>
  <si>
    <t>4.3 - 11.4</t>
  </si>
  <si>
    <t>3.9 - 5.0</t>
  </si>
  <si>
    <t>10.6 - 13.4</t>
  </si>
  <si>
    <t>32.0 - 40.0</t>
  </si>
  <si>
    <t>75.0 - 88.0</t>
  </si>
  <si>
    <t>25.0 - 29.0</t>
  </si>
  <si>
    <t>31.8 - 34.9</t>
  </si>
  <si>
    <t>&lt;14.4</t>
  </si>
  <si>
    <t>200.0 - 369.0</t>
  </si>
  <si>
    <t>9.2 - 11.4</t>
  </si>
  <si>
    <t>1.6 - 7.9</t>
  </si>
  <si>
    <t>1.0 - 4.0</t>
  </si>
  <si>
    <t>0.2 - 0.9</t>
  </si>
  <si>
    <t>4.9 - 13.4</t>
  </si>
  <si>
    <t>3.8 - 5.0</t>
  </si>
  <si>
    <t>10.2 - 12.7</t>
  </si>
  <si>
    <t>31.0 - 38.0</t>
  </si>
  <si>
    <t>71.0 - 85.0</t>
  </si>
  <si>
    <t>24.0 - 29.0</t>
  </si>
  <si>
    <t>31.8 - 34.7</t>
  </si>
  <si>
    <t>&lt;14.9</t>
  </si>
  <si>
    <t>190 - 403</t>
  </si>
  <si>
    <t>8.9 - 11.0</t>
  </si>
  <si>
    <t>1.5 - 8.3</t>
  </si>
  <si>
    <t>1.1 - 5.8</t>
  </si>
  <si>
    <t>6.0 - 13.5</t>
  </si>
  <si>
    <t>4.0 - 5.0</t>
  </si>
  <si>
    <t>10.1 - 12.7</t>
  </si>
  <si>
    <t>70.0 - 83.0</t>
  </si>
  <si>
    <t>23.0 - 28.0</t>
  </si>
  <si>
    <t xml:space="preserve"> 31.6 - 34.4</t>
  </si>
  <si>
    <t>&lt;15.6</t>
  </si>
  <si>
    <t>206 - 459</t>
  </si>
  <si>
    <t>8.7 - 10.6</t>
  </si>
  <si>
    <t>1.2 - 7.2</t>
  </si>
  <si>
    <t>1.5 - 8.1</t>
  </si>
  <si>
    <t>0.2 - 1.2</t>
  </si>
  <si>
    <t>0.0 - 0.8</t>
  </si>
  <si>
    <t>6.0 - 13.3</t>
  </si>
  <si>
    <t>3.4 - 4.8</t>
  </si>
  <si>
    <t>9.6 - 12.4</t>
  </si>
  <si>
    <t>29.0 - 37.0</t>
  </si>
  <si>
    <t>74.0 - 88.0</t>
  </si>
  <si>
    <t>24.0 - 30.0</t>
  </si>
  <si>
    <t>31.9 - 34.4</t>
  </si>
  <si>
    <t>&lt;15.3</t>
  </si>
  <si>
    <t>244.0 - 580.0</t>
  </si>
  <si>
    <t>8.9 - 10.9</t>
  </si>
  <si>
    <t>1.0 - 7.2</t>
  </si>
  <si>
    <t>2.1 - 9.0</t>
  </si>
  <si>
    <t>0.0 - 0.7</t>
  </si>
  <si>
    <t>7.1 - 15</t>
  </si>
  <si>
    <t>2.9 - 4.2</t>
  </si>
  <si>
    <t>8.9 - 12.7</t>
  </si>
  <si>
    <t>27.0 - 38.0</t>
  </si>
  <si>
    <t>83.0 - 96.0</t>
  </si>
  <si>
    <t>28.0 - 32.0</t>
  </si>
  <si>
    <t>32.3 - 34.9</t>
  </si>
  <si>
    <t>&lt;16.1</t>
  </si>
  <si>
    <t>229.0 - 597.0</t>
  </si>
  <si>
    <t>9.2 - 11.1</t>
  </si>
  <si>
    <t>1.0 - 4.7</t>
  </si>
  <si>
    <t>2.3 - 9.1</t>
  </si>
  <si>
    <t>0.3 - 1.2</t>
  </si>
  <si>
    <t>0.0 - 0.6</t>
  </si>
  <si>
    <t>7.8 - 15.9</t>
  </si>
  <si>
    <t>3.2 - 4.8</t>
  </si>
  <si>
    <t>10.0 - 15.3</t>
  </si>
  <si>
    <t>30.0 - 35.0</t>
  </si>
  <si>
    <t>30.0 - 45.0</t>
  </si>
  <si>
    <t>89.0 - 103.0</t>
  </si>
  <si>
    <t>32.7 - 35.1</t>
  </si>
  <si>
    <t>&lt;16.8</t>
  </si>
  <si>
    <t>248.0 - 586.0</t>
  </si>
  <si>
    <t>10.0 - 12.2</t>
  </si>
  <si>
    <t>1.2 - 5.5</t>
  </si>
  <si>
    <t>2.1 - 8.4</t>
  </si>
  <si>
    <t>0.3 - 1.4</t>
  </si>
  <si>
    <t>0.0 - 0.2</t>
  </si>
  <si>
    <t>40.0 - 80.0</t>
  </si>
  <si>
    <t>10.0 - 60.0</t>
  </si>
  <si>
    <t>3.0 - 13.0</t>
  </si>
  <si>
    <t>8.5 - 15.4</t>
  </si>
  <si>
    <t>4.1 - 5.7</t>
  </si>
  <si>
    <t>13.4 - 20.0</t>
  </si>
  <si>
    <t>40.0 - 57.0</t>
  </si>
  <si>
    <t>91.0 - 106.0</t>
  </si>
  <si>
    <t>31.0 - 36.0</t>
  </si>
  <si>
    <t>33.0 - 35.7</t>
  </si>
  <si>
    <t>&lt;17.3</t>
  </si>
  <si>
    <t>144.0 - 449.0</t>
  </si>
  <si>
    <t>10.2 - 12.0</t>
  </si>
  <si>
    <t>1.6 - 6.8</t>
  </si>
  <si>
    <t>1.8 - 8.0</t>
  </si>
  <si>
    <t>0.5 - 1.8</t>
  </si>
  <si>
    <t>0.1 - 0.7</t>
  </si>
  <si>
    <t>0.0 - 0.3</t>
  </si>
  <si>
    <t>"A"</t>
  </si>
  <si>
    <t>"B"</t>
  </si>
  <si>
    <t>"AB"</t>
  </si>
  <si>
    <t>0 - 1</t>
  </si>
  <si>
    <t>/HPF</t>
  </si>
  <si>
    <t>MANY</t>
  </si>
  <si>
    <t>Yeast</t>
  </si>
  <si>
    <t>NONE</t>
  </si>
  <si>
    <t>Pregnancy Test</t>
  </si>
  <si>
    <t>β-hCG</t>
  </si>
  <si>
    <t>Denge NS1 Ag</t>
  </si>
  <si>
    <t>Dengue IgM</t>
  </si>
  <si>
    <t>Dengue IgG</t>
  </si>
  <si>
    <t>anti - HIV 1/2</t>
  </si>
  <si>
    <t>anti - T. pallidum</t>
  </si>
  <si>
    <t>REACTIVE</t>
  </si>
  <si>
    <t>NON-REACTIVE</t>
  </si>
  <si>
    <t>DARK BROWN</t>
  </si>
  <si>
    <t>BROWN</t>
  </si>
  <si>
    <t>LIGHT BROWN</t>
  </si>
  <si>
    <t>YELLOWISH-BROWN</t>
  </si>
  <si>
    <t>GREENISH-BROWN</t>
  </si>
  <si>
    <t>GREEN</t>
  </si>
  <si>
    <t>RED</t>
  </si>
  <si>
    <t>REDDISH-BROWN</t>
  </si>
  <si>
    <t>BROWN W/ RED STREAKS</t>
  </si>
  <si>
    <t>PALE YELLOW</t>
  </si>
  <si>
    <t>GRAY</t>
  </si>
  <si>
    <t>WHITE</t>
  </si>
  <si>
    <t>BLACK</t>
  </si>
  <si>
    <t>FORMED</t>
  </si>
  <si>
    <t>SOFT</t>
  </si>
  <si>
    <t>WATERY</t>
  </si>
  <si>
    <t>MUCOID</t>
  </si>
  <si>
    <t>BULKY &amp; FROTHY</t>
  </si>
  <si>
    <t>Indirect Bilirubin</t>
  </si>
  <si>
    <t>0.20-1.20</t>
  </si>
  <si>
    <t>3.42-20.52</t>
  </si>
  <si>
    <t>URINE COLOR</t>
  </si>
  <si>
    <t>COLORLESS</t>
  </si>
  <si>
    <t>LIGHT YELLOW</t>
  </si>
  <si>
    <t>DARK YELLOW</t>
  </si>
  <si>
    <t>YELLOW-ORANGE</t>
  </si>
  <si>
    <t>YELLOW-GREEN</t>
  </si>
  <si>
    <t>YELLOW-BROWN</t>
  </si>
  <si>
    <t>LIGHT RED</t>
  </si>
  <si>
    <t>DARK RED</t>
  </si>
  <si>
    <t>RED-ORANGE</t>
  </si>
  <si>
    <t>RED-PURPLE</t>
  </si>
  <si>
    <t>RED-BROWN</t>
  </si>
  <si>
    <t>ORANGE-BROWN</t>
  </si>
  <si>
    <t>BROWN-BLACK</t>
  </si>
  <si>
    <t>BLUE-GREEN</t>
  </si>
  <si>
    <t>GREEN-BROWN</t>
  </si>
  <si>
    <t>Clarity</t>
  </si>
  <si>
    <t>CLARITY</t>
  </si>
  <si>
    <t>SLIGHTLY CLOUDY</t>
  </si>
  <si>
    <t>CLOUDY</t>
  </si>
  <si>
    <t>TURBID</t>
  </si>
  <si>
    <t>MILKY</t>
  </si>
  <si>
    <t>LEUKOCYTES</t>
  </si>
  <si>
    <t>25 (+)</t>
  </si>
  <si>
    <t>75 (++)</t>
  </si>
  <si>
    <t>500 (+++)</t>
  </si>
  <si>
    <t>NITRITE</t>
  </si>
  <si>
    <t>TRACE (+/-)</t>
  </si>
  <si>
    <t>&gt;0.5 (+)</t>
  </si>
  <si>
    <t>UROBILINOGEN</t>
  </si>
  <si>
    <t>0.1 (NORMAL)</t>
  </si>
  <si>
    <t>1.0 (NORMAL)</t>
  </si>
  <si>
    <t>4.0 (++)</t>
  </si>
  <si>
    <t>8.0 (+++)</t>
  </si>
  <si>
    <t>12.0 (++++)</t>
  </si>
  <si>
    <t>PROTEIN</t>
  </si>
  <si>
    <t>10 (+)</t>
  </si>
  <si>
    <t>10 (+/-)</t>
  </si>
  <si>
    <t>30 (+)</t>
  </si>
  <si>
    <t>100 (++)</t>
  </si>
  <si>
    <t>300 (+++)</t>
  </si>
  <si>
    <t>1000 (++++)</t>
  </si>
  <si>
    <t>BLOOD</t>
  </si>
  <si>
    <t>50 (++)</t>
  </si>
  <si>
    <t>250 (+++)</t>
  </si>
  <si>
    <t>(NON-HEMOLYSED)</t>
  </si>
  <si>
    <t>(HEMOLYSED)</t>
  </si>
  <si>
    <t>SPECIFIC GRAVITY</t>
  </si>
  <si>
    <t>KETONES</t>
  </si>
  <si>
    <t>5 (+/-)</t>
  </si>
  <si>
    <t>100 (+++)</t>
  </si>
  <si>
    <t>BILIRUBIN</t>
  </si>
  <si>
    <t>0.5 (+)</t>
  </si>
  <si>
    <t>1.0 (++)</t>
  </si>
  <si>
    <t>3.0 (+++)</t>
  </si>
  <si>
    <t>GLUCOSE</t>
  </si>
  <si>
    <t>100 (+/-)</t>
  </si>
  <si>
    <t>250 (+)</t>
  </si>
  <si>
    <t>500 (++)</t>
  </si>
  <si>
    <t>1000 (+++)</t>
  </si>
  <si>
    <t>2000 (++++)</t>
  </si>
  <si>
    <t>Parasite</t>
  </si>
  <si>
    <t>Crystal</t>
  </si>
  <si>
    <t>Cast</t>
  </si>
  <si>
    <t>WBC/Ul</t>
  </si>
  <si>
    <t>ID</t>
  </si>
  <si>
    <t>RESULT (EST.)</t>
  </si>
  <si>
    <t>MODERATE</t>
  </si>
  <si>
    <t>ABUNDANT</t>
  </si>
  <si>
    <t>RBC</t>
  </si>
  <si>
    <t>HYPOTONIC</t>
  </si>
  <si>
    <t>CRENATED</t>
  </si>
  <si>
    <t>MICROCYTIC</t>
  </si>
  <si>
    <t>DYSMORPHIC</t>
  </si>
  <si>
    <t>ISOTONIC</t>
  </si>
  <si>
    <t>EPITHELIAL CELLS</t>
  </si>
  <si>
    <t>SQUAMOUS</t>
  </si>
  <si>
    <t>TRANSITIONAL</t>
  </si>
  <si>
    <t>RENAL TUBULAR</t>
  </si>
  <si>
    <t>CAST</t>
  </si>
  <si>
    <t>HYALINE</t>
  </si>
  <si>
    <t>WBC</t>
  </si>
  <si>
    <t>BACTERIAL</t>
  </si>
  <si>
    <t>EPITHELIAL CELL</t>
  </si>
  <si>
    <t>FATTY</t>
  </si>
  <si>
    <t>MIXED CELLULAR</t>
  </si>
  <si>
    <t>GRANULAR</t>
  </si>
  <si>
    <t>WAXY</t>
  </si>
  <si>
    <t>BROAD</t>
  </si>
  <si>
    <t>YEAST</t>
  </si>
  <si>
    <t>BUDDING</t>
  </si>
  <si>
    <t>HYPHENATED</t>
  </si>
  <si>
    <t>PARASITE</t>
  </si>
  <si>
    <t>T. vaginalis (troph.)</t>
  </si>
  <si>
    <t>S. haematobium (ova)</t>
  </si>
  <si>
    <t>CRYSTAL</t>
  </si>
  <si>
    <t>URIC ACID</t>
  </si>
  <si>
    <t>AMORPHOUS URATES</t>
  </si>
  <si>
    <t>CALCIUM OXALATE</t>
  </si>
  <si>
    <t>AMORPHOUS PHOSPHATES</t>
  </si>
  <si>
    <t>CALCIUM PHOSPHATE</t>
  </si>
  <si>
    <t>TRIPLE PHOSPHATE</t>
  </si>
  <si>
    <t>AMMONIUM BIURATE</t>
  </si>
  <si>
    <t>CALCIUM CARBONATE</t>
  </si>
  <si>
    <t>CYSTINE</t>
  </si>
  <si>
    <t>CHOLESTEROL</t>
  </si>
  <si>
    <t>LEUCINE</t>
  </si>
  <si>
    <t>TYROSINE</t>
  </si>
  <si>
    <t>RADIOGRAPHIC DYE</t>
  </si>
  <si>
    <t>AMPICILLIN</t>
  </si>
  <si>
    <t>OTHERS</t>
  </si>
  <si>
    <t>FAT GLOBULES</t>
  </si>
  <si>
    <t>OVAL FAT BODY</t>
  </si>
  <si>
    <t>E. histolytica</t>
  </si>
  <si>
    <t>TUMOR CELLS</t>
  </si>
  <si>
    <t>VIRAL INCLUSION CELLS</t>
  </si>
  <si>
    <t>PLATELETS</t>
  </si>
  <si>
    <t>HEMATIN</t>
  </si>
  <si>
    <t>HEMOSIDERIN</t>
  </si>
  <si>
    <t>HIPPURIC ACID</t>
  </si>
  <si>
    <t>INDIGOTIN</t>
  </si>
  <si>
    <t>CALCIUM HYDROGEN PHOSPHATE</t>
  </si>
  <si>
    <t>ACETYLSULFADIAZINE</t>
  </si>
  <si>
    <t>ACETYLSULFAMETHOXAZOLE</t>
  </si>
  <si>
    <t>SULFADIAZINE</t>
  </si>
  <si>
    <t>MONOSODIUM URATE</t>
  </si>
  <si>
    <t>XANTHINE</t>
  </si>
  <si>
    <r>
      <t xml:space="preserve">Date of Birth: </t>
    </r>
    <r>
      <rPr>
        <i/>
        <sz val="10"/>
        <color theme="1"/>
        <rFont val="Times New Roman"/>
        <family val="1"/>
      </rPr>
      <t>dd/mmm/yyyy</t>
    </r>
  </si>
  <si>
    <r>
      <t>Date &amp; Time of Requisition:</t>
    </r>
    <r>
      <rPr>
        <sz val="9"/>
        <color theme="1"/>
        <rFont val="Times New Roman"/>
        <family val="1"/>
      </rPr>
      <t xml:space="preserve"> </t>
    </r>
    <r>
      <rPr>
        <i/>
        <sz val="9"/>
        <color theme="1"/>
        <rFont val="Times New Roman"/>
        <family val="1"/>
      </rPr>
      <t>dd/mmm/yyyy hh:mm</t>
    </r>
  </si>
  <si>
    <r>
      <t>Date of Birth:</t>
    </r>
    <r>
      <rPr>
        <i/>
        <sz val="10"/>
        <color theme="1"/>
        <rFont val="Times New Roman"/>
        <family val="1"/>
      </rPr>
      <t xml:space="preserve"> dd/mmm/yyyy</t>
    </r>
  </si>
  <si>
    <r>
      <t>Date &amp; Time Performed:</t>
    </r>
    <r>
      <rPr>
        <i/>
        <sz val="10"/>
        <color theme="1"/>
        <rFont val="Times New Roman"/>
        <family val="1"/>
      </rPr>
      <t xml:space="preserve"> dd/mmm/yyyy hh:mm</t>
    </r>
  </si>
  <si>
    <r>
      <t>Date &amp; Time Released:</t>
    </r>
    <r>
      <rPr>
        <i/>
        <sz val="10"/>
        <color theme="1"/>
        <rFont val="Times New Roman"/>
        <family val="1"/>
      </rPr>
      <t xml:space="preserve"> dd/mmm/yyyy hh:mm</t>
    </r>
  </si>
  <si>
    <r>
      <t>Date &amp; Time of Requisition:</t>
    </r>
    <r>
      <rPr>
        <b/>
        <u/>
        <sz val="9"/>
        <color theme="1"/>
        <rFont val="Times New Roman"/>
        <family val="1"/>
      </rPr>
      <t xml:space="preserve"> </t>
    </r>
    <r>
      <rPr>
        <b/>
        <i/>
        <u/>
        <sz val="9"/>
        <color theme="1"/>
        <rFont val="Times New Roman"/>
        <family val="1"/>
      </rPr>
      <t>dd/mmm/yyyy hh:mm</t>
    </r>
  </si>
  <si>
    <t xml:space="preserve">   Color</t>
  </si>
  <si>
    <t xml:space="preserve">   Consistency</t>
  </si>
  <si>
    <t xml:space="preserve">   Parasites (Macroscopic)</t>
  </si>
  <si>
    <t xml:space="preserve">   Red Blood Cells (RBC)</t>
  </si>
  <si>
    <t xml:space="preserve">   White Blood Cells (RBC)</t>
  </si>
  <si>
    <t xml:space="preserve">   Bacteria</t>
  </si>
  <si>
    <t xml:space="preserve">   Yeast</t>
  </si>
  <si>
    <t xml:space="preserve">   Parasite/s</t>
  </si>
  <si>
    <t xml:space="preserve">   Others</t>
  </si>
  <si>
    <t>DARK BROWN W/ RED STREAKS</t>
  </si>
  <si>
    <t>LIGHT BROWN W/ RED STREAKS</t>
  </si>
  <si>
    <t>COLOR</t>
  </si>
  <si>
    <t>CONSISTENCY</t>
  </si>
  <si>
    <t>Dibothriocephalus latus</t>
  </si>
  <si>
    <t>Dipylidium caninum</t>
  </si>
  <si>
    <t>Hymenolepis diminuta</t>
  </si>
  <si>
    <t>Hymenolepis nana</t>
  </si>
  <si>
    <t>Taenia saginata</t>
  </si>
  <si>
    <t>Taenia solium</t>
  </si>
  <si>
    <t>Adenocephalus pacificus</t>
  </si>
  <si>
    <t>Echinococcus granulosus</t>
  </si>
  <si>
    <t>REMARKS</t>
  </si>
  <si>
    <t>Fecal Occult Blood Test</t>
  </si>
  <si>
    <t>Human Hemoglobin-specific  Monoclonal Antibodies</t>
  </si>
  <si>
    <t>FLAGELLATES</t>
  </si>
  <si>
    <t>Chilomastix mesnili</t>
  </si>
  <si>
    <t>Dientamoeba fragilis</t>
  </si>
  <si>
    <t>AMOEBAE</t>
  </si>
  <si>
    <t>Entamoeba coli</t>
  </si>
  <si>
    <t>Endolimax nana</t>
  </si>
  <si>
    <t>Iodamoeba buetschlii</t>
  </si>
  <si>
    <t>Entamoeba histolytica</t>
  </si>
  <si>
    <t>SPOROZOA</t>
  </si>
  <si>
    <t>Entamoeba hartmanni</t>
  </si>
  <si>
    <t>Entamoeba polecki</t>
  </si>
  <si>
    <t>Giardia duodenalis</t>
  </si>
  <si>
    <t>Pentatrichomonas hominis</t>
  </si>
  <si>
    <t>Enteromonas hominis</t>
  </si>
  <si>
    <t>Retortamonas intestinalis</t>
  </si>
  <si>
    <t>Cystoisospora belli</t>
  </si>
  <si>
    <t>Balantidium coli</t>
  </si>
  <si>
    <t>Sarcocystis hominis</t>
  </si>
  <si>
    <t>Sarcocystis suihominis</t>
  </si>
  <si>
    <t>Cryptosporidium spp.</t>
  </si>
  <si>
    <t>Blastocystis hominis</t>
  </si>
  <si>
    <t>NEMATODA</t>
  </si>
  <si>
    <t>Enterobius vermicularis</t>
  </si>
  <si>
    <t>Ascaris lumbricoides</t>
  </si>
  <si>
    <t>Trichuris trichiura</t>
  </si>
  <si>
    <t>Ancylostoma duodenale</t>
  </si>
  <si>
    <t>Necator americanus</t>
  </si>
  <si>
    <t>Trichinella spiralis</t>
  </si>
  <si>
    <t>Capillaria philippinensis</t>
  </si>
  <si>
    <t>Capillaria hepatica</t>
  </si>
  <si>
    <t>Strongyloides stercoralis</t>
  </si>
  <si>
    <t>CESTODA</t>
  </si>
  <si>
    <t>TREMATODA</t>
  </si>
  <si>
    <t>Schistosoma mansoni</t>
  </si>
  <si>
    <t>Schistosoma japonicum</t>
  </si>
  <si>
    <t>Schistosoma haematobium</t>
  </si>
  <si>
    <t>Schistosoma intercalatum</t>
  </si>
  <si>
    <t>Schistosoma mekongi</t>
  </si>
  <si>
    <t>Clonorchis sinensis</t>
  </si>
  <si>
    <t>Opisthorchis spp.</t>
  </si>
  <si>
    <t>Heterophyes heterophyes</t>
  </si>
  <si>
    <t>Metagonimus yokogawai</t>
  </si>
  <si>
    <t>Echinostoma ilocanum</t>
  </si>
  <si>
    <t>Faciolopsis buski</t>
  </si>
  <si>
    <t>Paragonimus westermani</t>
  </si>
  <si>
    <t>Fasciola hepatica</t>
  </si>
  <si>
    <t>MACRO PARA</t>
  </si>
  <si>
    <t>MICRO YEAST</t>
  </si>
  <si>
    <t>MICRO PARA</t>
  </si>
  <si>
    <t>MICRO OTHERS</t>
  </si>
  <si>
    <t>VEGETABLE FIBER</t>
  </si>
  <si>
    <t>PASTY</t>
  </si>
  <si>
    <t>HEMATOIDIN CRYSTAL</t>
  </si>
  <si>
    <t>CALCIUM OXALATE CRYSTAL</t>
  </si>
  <si>
    <t>TRIPLE PHOSPHATE CRYSTAL</t>
  </si>
  <si>
    <t>FATTY ACID CRYSTAL</t>
  </si>
  <si>
    <t>CHARCOAL LEYDEN CRYSTAL</t>
  </si>
  <si>
    <t>FAT GLOBULE</t>
  </si>
  <si>
    <t>MEAT FIBER</t>
  </si>
  <si>
    <t>STARCH GRANULES</t>
  </si>
  <si>
    <t>MACRO REMARKS</t>
  </si>
  <si>
    <t>SCOLEX</t>
  </si>
  <si>
    <t>ADULT</t>
  </si>
  <si>
    <t>RHABDITOID LARVA</t>
  </si>
  <si>
    <t>FILARIFORM LARVA</t>
  </si>
  <si>
    <t>MICRO REMARKS</t>
  </si>
  <si>
    <t>TROPHOZOITE</t>
  </si>
  <si>
    <t>CYST</t>
  </si>
  <si>
    <t>ADULT-MALE</t>
  </si>
  <si>
    <t>ADULT-FEMALE</t>
  </si>
  <si>
    <t>MICROFILARIA</t>
  </si>
  <si>
    <t>OVUM</t>
  </si>
  <si>
    <t>OVUM-FERTILIZED</t>
  </si>
  <si>
    <t>OVUM-UNFERTILIZED</t>
  </si>
  <si>
    <t>OVUM-DECORTICATED</t>
  </si>
  <si>
    <t>OVUM-EMBRYONATED</t>
  </si>
  <si>
    <t>SPOROCYST</t>
  </si>
  <si>
    <t>CERCARIA</t>
  </si>
  <si>
    <t>MIRACIDIUM</t>
  </si>
  <si>
    <t>REDIA</t>
  </si>
  <si>
    <t>PROGLOTTID-IMMATURE</t>
  </si>
  <si>
    <t>PROGLOTTID-MATURE</t>
  </si>
  <si>
    <t>PROGLOTTID-GRAVID</t>
  </si>
  <si>
    <t>SPARGANUM</t>
  </si>
  <si>
    <t>CYSTICERCUS CELLULOSAE</t>
  </si>
  <si>
    <t>HYDATID CYST</t>
  </si>
  <si>
    <t>LEYSAM C. BANTILO, RMT</t>
  </si>
  <si>
    <t>Lic. No. 0054465</t>
  </si>
  <si>
    <t>RICO JAMES R. GARGAR, RMT</t>
  </si>
  <si>
    <t>Lic. No. 0091946</t>
  </si>
  <si>
    <t>HbA1c</t>
  </si>
  <si>
    <t>4.50-6.50</t>
  </si>
  <si>
    <t>mmol/mol</t>
  </si>
  <si>
    <t>25.67-47.53</t>
  </si>
  <si>
    <t>75g GLUCOSE FOR OGTT.</t>
  </si>
  <si>
    <t>&lt;8.50</t>
  </si>
  <si>
    <t>&lt;153.00</t>
  </si>
  <si>
    <t>Second Hour</t>
  </si>
  <si>
    <t>&lt;10.00</t>
  </si>
  <si>
    <t>&lt;180.00</t>
  </si>
  <si>
    <t>First Hour</t>
  </si>
  <si>
    <t>Oral Glucose Tolerance Test</t>
  </si>
  <si>
    <t>Fasciolopsis buski</t>
  </si>
  <si>
    <t>REFERENCE</t>
  </si>
  <si>
    <t>SERUM SPECIMEN USED.</t>
  </si>
  <si>
    <t>PLASMA SPECIMEN USED.</t>
  </si>
  <si>
    <t>WHOLE BLOOD SPECIMEN USED.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</si>
</sst>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m/yyyy"/>
    <numFmt numFmtId="165" formatCode="dd/mmm/yyyy\ \ \ \ \ \ \ \ \ \ \ \ \ \ h:mm\ AM/PM"/>
    <numFmt numFmtId="166" formatCode="0.0"/>
    <numFmt numFmtId="167" formatCode="0.000"/>
  </numFmts>
  <fonts count="5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Times New Roman"/>
      <family val="1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0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i/>
      <sz val="7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sz val="14"/>
      <color theme="1"/>
      <name val="Times New Roman"/>
      <family val="1"/>
    </font>
    <font>
      <i/>
      <sz val="11"/>
      <color theme="1"/>
      <name val="Times New Roman"/>
      <family val="1"/>
    </font>
    <font>
      <i/>
      <sz val="9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Symbol"/>
      <family val="1"/>
      <charset val="2"/>
    </font>
    <font>
      <sz val="11"/>
      <color theme="4"/>
      <name val="Calibri"/>
      <family val="2"/>
      <scheme val="minor"/>
    </font>
    <font>
      <sz val="10"/>
      <color rgb="FF333333"/>
      <name val="Times New Roman"/>
      <family val="1"/>
    </font>
    <font>
      <sz val="1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6"/>
      <name val="Times New Roman"/>
      <family val="1"/>
    </font>
    <font>
      <b/>
      <u/>
      <sz val="11"/>
      <color theme="1"/>
      <name val="Times New Roman"/>
      <family val="1"/>
    </font>
    <font>
      <b/>
      <u/>
      <sz val="12"/>
      <color theme="1"/>
      <name val="Times New Roman"/>
      <family val="1"/>
    </font>
    <font>
      <sz val="9.5"/>
      <color theme="1"/>
      <name val="Times New Roman"/>
      <family val="1"/>
    </font>
    <font>
      <b/>
      <u/>
      <sz val="9"/>
      <color theme="1"/>
      <name val="Times New Roman"/>
      <family val="1"/>
    </font>
    <font>
      <sz val="10"/>
      <color theme="1"/>
      <name val="Times New Roman"/>
      <family val="2"/>
    </font>
    <font>
      <sz val="10"/>
      <color theme="1"/>
      <name val="Calibri"/>
      <family val="2"/>
    </font>
    <font>
      <sz val="10"/>
      <color theme="1"/>
      <name val="Times New Roman"/>
      <family val="1"/>
      <charset val="2"/>
    </font>
    <font>
      <b/>
      <sz val="10"/>
      <color theme="1"/>
      <name val="Calibri"/>
      <family val="2"/>
      <scheme val="minor"/>
    </font>
    <font>
      <sz val="10"/>
      <name val="Times New Roman"/>
      <family val="1"/>
    </font>
    <font>
      <b/>
      <sz val="28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20"/>
      <color theme="1"/>
      <name val="Calibri"/>
      <family val="2"/>
      <scheme val="minor"/>
    </font>
    <font>
      <b/>
      <sz val="28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u/>
      <sz val="9"/>
      <color theme="1"/>
      <name val="Times New Roman"/>
      <family val="1"/>
    </font>
    <font>
      <b/>
      <u/>
      <sz val="9.5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rgb="FFBA06A0"/>
        <bgColor indexed="64"/>
      </patternFill>
    </fill>
    <fill>
      <patternFill patternType="solid">
        <fgColor rgb="FFF3DFE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8" fillId="0" borderId="0" xfId="0" applyFont="1" applyAlignment="1">
      <alignment horizontal="center" vertical="center" wrapText="1"/>
    </xf>
    <xf numFmtId="0" fontId="3" fillId="0" borderId="0" xfId="0" applyFont="1"/>
    <xf numFmtId="0" fontId="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1" fillId="0" borderId="4" xfId="0" applyFont="1" applyBorder="1" applyAlignment="1">
      <alignment vertical="center"/>
    </xf>
    <xf numFmtId="0" fontId="11" fillId="0" borderId="4" xfId="0" applyFont="1" applyBorder="1"/>
    <xf numFmtId="0" fontId="3" fillId="0" borderId="4" xfId="0" applyFont="1" applyBorder="1" applyAlignment="1">
      <alignment vertical="center"/>
    </xf>
    <xf numFmtId="0" fontId="5" fillId="0" borderId="1" xfId="0" applyFont="1" applyBorder="1"/>
    <xf numFmtId="0" fontId="5" fillId="0" borderId="0" xfId="0" applyFont="1"/>
    <xf numFmtId="0" fontId="16" fillId="0" borderId="0" xfId="0" applyFont="1"/>
    <xf numFmtId="15" fontId="0" fillId="0" borderId="0" xfId="0" applyNumberFormat="1"/>
    <xf numFmtId="20" fontId="0" fillId="0" borderId="0" xfId="0" applyNumberFormat="1"/>
    <xf numFmtId="0" fontId="18" fillId="0" borderId="0" xfId="0" applyFon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8" fontId="0" fillId="0" borderId="0" xfId="0" applyNumberFormat="1"/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0" fontId="7" fillId="5" borderId="18" xfId="0" applyFont="1" applyFill="1" applyBorder="1" applyAlignment="1">
      <alignment horizontal="center"/>
    </xf>
    <xf numFmtId="0" fontId="0" fillId="0" borderId="4" xfId="0" applyBorder="1" applyAlignment="1">
      <alignment vertical="center"/>
    </xf>
    <xf numFmtId="0" fontId="30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30" fillId="0" borderId="1" xfId="0" applyFont="1" applyBorder="1" applyAlignment="1">
      <alignment vertical="center"/>
    </xf>
    <xf numFmtId="0" fontId="30" fillId="0" borderId="2" xfId="0" applyFont="1" applyBorder="1" applyAlignment="1">
      <alignment vertical="center"/>
    </xf>
    <xf numFmtId="49" fontId="0" fillId="0" borderId="5" xfId="0" applyNumberForma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49" fontId="0" fillId="0" borderId="0" xfId="0" applyNumberFormat="1"/>
    <xf numFmtId="49" fontId="16" fillId="0" borderId="0" xfId="0" applyNumberFormat="1" applyFont="1"/>
    <xf numFmtId="0" fontId="5" fillId="0" borderId="2" xfId="0" applyFont="1" applyBorder="1"/>
    <xf numFmtId="0" fontId="3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27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2" fontId="16" fillId="0" borderId="16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21" xfId="0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19" fillId="0" borderId="22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20" fillId="0" borderId="22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25" fillId="0" borderId="22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2" fontId="16" fillId="0" borderId="26" xfId="0" applyNumberFormat="1" applyFont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24" fillId="0" borderId="21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3" fillId="0" borderId="29" xfId="0" applyFont="1" applyBorder="1" applyAlignment="1">
      <alignment vertical="center"/>
    </xf>
    <xf numFmtId="0" fontId="3" fillId="0" borderId="5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8" fillId="0" borderId="4" xfId="0" applyFont="1" applyBorder="1" applyAlignment="1">
      <alignment vertic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3" fillId="0" borderId="32" xfId="0" applyFont="1" applyBorder="1" applyAlignment="1">
      <alignment vertical="center"/>
    </xf>
    <xf numFmtId="0" fontId="0" fillId="0" borderId="33" xfId="0" applyBorder="1"/>
    <xf numFmtId="0" fontId="0" fillId="0" borderId="31" xfId="0" applyBorder="1"/>
    <xf numFmtId="0" fontId="0" fillId="0" borderId="0" xfId="0" applyAlignment="1">
      <alignment horizontal="center" vertical="center"/>
    </xf>
    <xf numFmtId="0" fontId="3" fillId="0" borderId="19" xfId="0" applyFont="1" applyBorder="1" applyAlignment="1">
      <alignment vertical="center"/>
    </xf>
    <xf numFmtId="0" fontId="0" fillId="0" borderId="22" xfId="0" applyBorder="1" applyAlignment="1">
      <alignment horizontal="center"/>
    </xf>
    <xf numFmtId="0" fontId="28" fillId="0" borderId="22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9" fillId="0" borderId="29" xfId="0" applyFont="1" applyBorder="1" applyAlignment="1">
      <alignment horizontal="center"/>
    </xf>
    <xf numFmtId="0" fontId="28" fillId="0" borderId="5" xfId="0" applyFont="1" applyBorder="1" applyAlignment="1">
      <alignment horizontal="center" vertical="center" wrapText="1"/>
    </xf>
    <xf numFmtId="0" fontId="0" fillId="0" borderId="31" xfId="0" applyBorder="1" applyAlignment="1">
      <alignment vertical="center"/>
    </xf>
    <xf numFmtId="0" fontId="28" fillId="0" borderId="28" xfId="0" applyFont="1" applyBorder="1" applyAlignment="1">
      <alignment horizontal="center" vertical="center"/>
    </xf>
    <xf numFmtId="0" fontId="3" fillId="0" borderId="23" xfId="0" applyFont="1" applyBorder="1" applyAlignment="1">
      <alignment vertical="center"/>
    </xf>
    <xf numFmtId="0" fontId="27" fillId="0" borderId="22" xfId="0" applyFont="1" applyBorder="1" applyAlignment="1">
      <alignment horizontal="center" vertical="center"/>
    </xf>
    <xf numFmtId="0" fontId="3" fillId="0" borderId="36" xfId="0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2" fontId="16" fillId="0" borderId="37" xfId="0" applyNumberFormat="1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27" fillId="0" borderId="0" xfId="0" applyFont="1"/>
    <xf numFmtId="0" fontId="4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2" fontId="16" fillId="0" borderId="5" xfId="0" applyNumberFormat="1" applyFont="1" applyBorder="1"/>
    <xf numFmtId="2" fontId="16" fillId="0" borderId="0" xfId="0" applyNumberFormat="1" applyFont="1"/>
    <xf numFmtId="0" fontId="44" fillId="0" borderId="5" xfId="0" applyFont="1" applyBorder="1" applyAlignment="1">
      <alignment vertical="center"/>
    </xf>
    <xf numFmtId="2" fontId="44" fillId="0" borderId="0" xfId="0" applyNumberFormat="1" applyFont="1" applyAlignment="1">
      <alignment vertical="center"/>
    </xf>
    <xf numFmtId="0" fontId="3" fillId="0" borderId="5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0" fillId="0" borderId="8" xfId="0" applyBorder="1" applyAlignment="1">
      <alignment shrinkToFit="1"/>
    </xf>
    <xf numFmtId="0" fontId="16" fillId="0" borderId="6" xfId="0" applyFont="1" applyBorder="1" applyAlignment="1">
      <alignment shrinkToFit="1"/>
    </xf>
    <xf numFmtId="0" fontId="46" fillId="0" borderId="0" xfId="0" applyFont="1"/>
    <xf numFmtId="0" fontId="0" fillId="0" borderId="5" xfId="0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0" fontId="48" fillId="0" borderId="0" xfId="0" applyFont="1"/>
    <xf numFmtId="0" fontId="7" fillId="0" borderId="0" xfId="0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5" xfId="0" applyNumberFormat="1" applyBorder="1" applyAlignment="1">
      <alignment vertical="center"/>
    </xf>
    <xf numFmtId="0" fontId="5" fillId="0" borderId="0" xfId="0" applyFont="1" applyAlignment="1">
      <alignment vertical="center"/>
    </xf>
    <xf numFmtId="0" fontId="3" fillId="0" borderId="2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20" fillId="0" borderId="22" xfId="0" applyFont="1" applyBorder="1" applyAlignment="1">
      <alignment horizontal="center"/>
    </xf>
    <xf numFmtId="0" fontId="25" fillId="0" borderId="29" xfId="0" applyFont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/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7" fillId="3" borderId="14" xfId="0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5" fillId="0" borderId="4" xfId="0" applyFont="1" applyBorder="1" applyAlignment="1">
      <alignment vertical="center"/>
    </xf>
    <xf numFmtId="0" fontId="30" fillId="0" borderId="0" xfId="0" applyFont="1"/>
    <xf numFmtId="15" fontId="30" fillId="0" borderId="0" xfId="0" applyNumberFormat="1" applyFont="1"/>
    <xf numFmtId="0" fontId="7" fillId="3" borderId="18" xfId="0" applyFont="1" applyFill="1" applyBorder="1" applyAlignment="1">
      <alignment horizontal="center" vertical="center"/>
    </xf>
    <xf numFmtId="20" fontId="30" fillId="0" borderId="0" xfId="0" applyNumberFormat="1" applyFont="1"/>
    <xf numFmtId="0" fontId="20" fillId="0" borderId="37" xfId="0" applyFont="1" applyBorder="1" applyAlignment="1">
      <alignment horizontal="center"/>
    </xf>
    <xf numFmtId="0" fontId="0" fillId="0" borderId="20" xfId="0" applyBorder="1" applyAlignment="1">
      <alignment vertical="center"/>
    </xf>
    <xf numFmtId="0" fontId="0" fillId="0" borderId="37" xfId="0" applyBorder="1" applyAlignment="1">
      <alignment vertical="center"/>
    </xf>
    <xf numFmtId="0" fontId="30" fillId="0" borderId="2" xfId="0" applyFont="1" applyBorder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6" fillId="0" borderId="8" xfId="0" applyFont="1" applyBorder="1" applyAlignment="1">
      <alignment horizontal="center"/>
    </xf>
    <xf numFmtId="164" fontId="16" fillId="0" borderId="6" xfId="0" applyNumberFormat="1" applyFont="1" applyBorder="1" applyAlignment="1">
      <alignment horizontal="center"/>
    </xf>
    <xf numFmtId="164" fontId="16" fillId="0" borderId="7" xfId="0" applyNumberFormat="1" applyFont="1" applyBorder="1" applyAlignment="1">
      <alignment horizontal="center"/>
    </xf>
    <xf numFmtId="18" fontId="16" fillId="0" borderId="7" xfId="0" applyNumberFormat="1" applyFont="1" applyBorder="1" applyAlignment="1">
      <alignment horizontal="center"/>
    </xf>
    <xf numFmtId="18" fontId="16" fillId="0" borderId="8" xfId="0" applyNumberFormat="1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32" fillId="8" borderId="1" xfId="0" applyFont="1" applyFill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8" borderId="7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0" fontId="16" fillId="0" borderId="6" xfId="0" applyFont="1" applyBorder="1" applyAlignment="1">
      <alignment horizontal="center" shrinkToFit="1"/>
    </xf>
    <xf numFmtId="0" fontId="0" fillId="0" borderId="8" xfId="0" applyBorder="1" applyAlignment="1">
      <alignment horizontal="center" shrinkToFit="1"/>
    </xf>
    <xf numFmtId="0" fontId="1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1" fillId="9" borderId="1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/>
    </xf>
    <xf numFmtId="0" fontId="31" fillId="9" borderId="7" xfId="0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/>
    </xf>
    <xf numFmtId="0" fontId="31" fillId="9" borderId="13" xfId="0" applyFont="1" applyFill="1" applyBorder="1" applyAlignment="1">
      <alignment horizontal="center" vertical="center"/>
    </xf>
    <xf numFmtId="0" fontId="31" fillId="9" borderId="14" xfId="0" applyFont="1" applyFill="1" applyBorder="1" applyAlignment="1">
      <alignment horizontal="center" vertical="center"/>
    </xf>
    <xf numFmtId="0" fontId="31" fillId="9" borderId="35" xfId="0" applyFont="1" applyFill="1" applyBorder="1" applyAlignment="1">
      <alignment horizontal="center" vertical="center"/>
    </xf>
    <xf numFmtId="0" fontId="31" fillId="9" borderId="34" xfId="0" applyFont="1" applyFill="1" applyBorder="1" applyAlignment="1">
      <alignment horizontal="center" vertical="center"/>
    </xf>
    <xf numFmtId="0" fontId="31" fillId="9" borderId="35" xfId="0" applyFont="1" applyFill="1" applyBorder="1" applyAlignment="1">
      <alignment horizontal="center" vertical="center" wrapText="1"/>
    </xf>
    <xf numFmtId="0" fontId="31" fillId="9" borderId="34" xfId="0" applyFont="1" applyFill="1" applyBorder="1" applyAlignment="1">
      <alignment horizontal="center" vertical="center" wrapText="1"/>
    </xf>
    <xf numFmtId="2" fontId="40" fillId="0" borderId="12" xfId="0" applyNumberFormat="1" applyFont="1" applyBorder="1" applyAlignment="1">
      <alignment horizontal="center" vertical="center"/>
    </xf>
    <xf numFmtId="2" fontId="40" fillId="0" borderId="14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0" fontId="3" fillId="0" borderId="24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9" fillId="0" borderId="41" xfId="0" applyFont="1" applyBorder="1" applyAlignment="1">
      <alignment horizontal="center"/>
    </xf>
    <xf numFmtId="0" fontId="30" fillId="0" borderId="2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/>
    </xf>
    <xf numFmtId="0" fontId="52" fillId="0" borderId="4" xfId="0" applyFont="1" applyBorder="1" applyAlignment="1">
      <alignment horizontal="left" vertical="center"/>
    </xf>
    <xf numFmtId="0" fontId="52" fillId="0" borderId="0" xfId="0" applyFont="1" applyAlignment="1">
      <alignment horizontal="left" vertical="center"/>
    </xf>
    <xf numFmtId="0" fontId="52" fillId="0" borderId="31" xfId="0" applyFont="1" applyBorder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35" xfId="0" applyFont="1" applyFill="1" applyBorder="1" applyAlignment="1">
      <alignment horizontal="center" vertical="center"/>
    </xf>
    <xf numFmtId="0" fontId="7" fillId="5" borderId="34" xfId="0" applyFont="1" applyFill="1" applyBorder="1" applyAlignment="1">
      <alignment horizontal="center" vertical="center"/>
    </xf>
    <xf numFmtId="0" fontId="7" fillId="5" borderId="35" xfId="0" applyFont="1" applyFill="1" applyBorder="1" applyAlignment="1">
      <alignment horizontal="center" vertical="center" wrapText="1"/>
    </xf>
    <xf numFmtId="0" fontId="7" fillId="5" borderId="34" xfId="0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16" fillId="0" borderId="0" xfId="0" applyFont="1" applyAlignment="1">
      <alignment horizontal="center"/>
    </xf>
    <xf numFmtId="2" fontId="16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47" fillId="4" borderId="2" xfId="0" applyFont="1" applyFill="1" applyBorder="1" applyAlignment="1">
      <alignment horizontal="center" vertical="center"/>
    </xf>
    <xf numFmtId="0" fontId="47" fillId="4" borderId="3" xfId="0" applyFont="1" applyFill="1" applyBorder="1" applyAlignment="1">
      <alignment horizontal="center" vertical="center"/>
    </xf>
    <xf numFmtId="0" fontId="47" fillId="4" borderId="6" xfId="0" applyFont="1" applyFill="1" applyBorder="1" applyAlignment="1">
      <alignment horizontal="center" vertical="center"/>
    </xf>
    <xf numFmtId="0" fontId="47" fillId="4" borderId="7" xfId="0" applyFont="1" applyFill="1" applyBorder="1" applyAlignment="1">
      <alignment horizontal="center" vertical="center"/>
    </xf>
    <xf numFmtId="0" fontId="47" fillId="4" borderId="8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5" borderId="12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165" fontId="16" fillId="0" borderId="6" xfId="0" applyNumberFormat="1" applyFont="1" applyBorder="1" applyAlignment="1">
      <alignment horizontal="center" vertical="center"/>
    </xf>
    <xf numFmtId="165" fontId="16" fillId="0" borderId="7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5" xfId="0" applyNumberFormat="1" applyBorder="1" applyAlignment="1">
      <alignment horizontal="center" vertical="center"/>
    </xf>
    <xf numFmtId="49" fontId="16" fillId="0" borderId="0" xfId="0" applyNumberFormat="1" applyFont="1" applyAlignment="1">
      <alignment horizontal="center"/>
    </xf>
    <xf numFmtId="0" fontId="7" fillId="0" borderId="2" xfId="0" applyFont="1" applyBorder="1" applyAlignment="1">
      <alignment horizontal="left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30" fillId="0" borderId="1" xfId="0" applyFont="1" applyBorder="1" applyAlignment="1">
      <alignment horizontal="left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166" fontId="16" fillId="0" borderId="0" xfId="0" applyNumberFormat="1" applyFont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6" fillId="0" borderId="5" xfId="0" applyFont="1" applyBorder="1" applyAlignment="1">
      <alignment horizontal="center"/>
    </xf>
    <xf numFmtId="49" fontId="16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49" fontId="49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/>
    </xf>
    <xf numFmtId="49" fontId="49" fillId="0" borderId="0" xfId="0" applyNumberFormat="1" applyFont="1" applyAlignment="1">
      <alignment horizontal="center"/>
    </xf>
    <xf numFmtId="0" fontId="30" fillId="0" borderId="2" xfId="0" applyFont="1" applyBorder="1" applyAlignment="1">
      <alignment horizontal="left"/>
    </xf>
    <xf numFmtId="0" fontId="7" fillId="11" borderId="12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11" fillId="0" borderId="1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3" xfId="0" applyFont="1" applyBorder="1" applyAlignment="1">
      <alignment horizontal="left"/>
    </xf>
  </cellXfs>
  <cellStyles count="1">
    <cellStyle name="Normal" xfId="0" builtinId="0"/>
  </cellStyles>
  <dxfs count="353"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theme="8"/>
      </font>
    </dxf>
    <dxf>
      <font>
        <color theme="8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8"/>
      </font>
    </dxf>
  </dxfs>
  <tableStyles count="0" defaultTableStyle="TableStyleMedium2" defaultPivotStyle="PivotStyleLight16"/>
  <colors>
    <mruColors>
      <color rgb="FFFFD3D3"/>
      <color rgb="FFFF0066"/>
      <color rgb="FFF3DFEF"/>
      <color rgb="FFBA06A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D30A7C49-2F01-427D-A99C-62BF9B9B8AA7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60248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716280</xdr:colOff>
      <xdr:row>46</xdr:row>
      <xdr:rowOff>99060</xdr:rowOff>
    </xdr:from>
    <xdr:to>
      <xdr:col>11</xdr:col>
      <xdr:colOff>213360</xdr:colOff>
      <xdr:row>52</xdr:row>
      <xdr:rowOff>27264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1C58D9-02A7-4DE5-87CA-00F7882C4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59680" y="811530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228599</xdr:colOff>
      <xdr:row>0</xdr:row>
      <xdr:rowOff>175260</xdr:rowOff>
    </xdr:from>
    <xdr:to>
      <xdr:col>10</xdr:col>
      <xdr:colOff>719001</xdr:colOff>
      <xdr:row>5</xdr:row>
      <xdr:rowOff>175260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0F13350-E336-11D8-E5F2-F8F009E85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3119" y="17526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0</xdr:rowOff>
    </xdr:from>
    <xdr:to>
      <xdr:col>1</xdr:col>
      <xdr:colOff>472020</xdr:colOff>
      <xdr:row>6</xdr:row>
      <xdr:rowOff>7200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88A106B-3F28-49D7-BA6E-0D24EE90E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B82F9C07-DA34-4101-8515-4AB0FFC84007}"/>
            </a:ext>
          </a:extLst>
        </xdr:cNvPr>
        <xdr:cNvSpPr txBox="1">
          <a:spLocks noChangeArrowheads="1"/>
        </xdr:cNvSpPr>
      </xdr:nvSpPr>
      <xdr:spPr bwMode="auto">
        <a:xfrm>
          <a:off x="1112520" y="53340"/>
          <a:ext cx="452628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731520</xdr:colOff>
      <xdr:row>46</xdr:row>
      <xdr:rowOff>83820</xdr:rowOff>
    </xdr:from>
    <xdr:to>
      <xdr:col>11</xdr:col>
      <xdr:colOff>228600</xdr:colOff>
      <xdr:row>52</xdr:row>
      <xdr:rowOff>12024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F822B4-E5C7-488C-9A53-3AF86D91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74920" y="813054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236220</xdr:colOff>
      <xdr:row>0</xdr:row>
      <xdr:rowOff>129540</xdr:rowOff>
    </xdr:from>
    <xdr:to>
      <xdr:col>10</xdr:col>
      <xdr:colOff>726622</xdr:colOff>
      <xdr:row>5</xdr:row>
      <xdr:rowOff>129540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43133E9-CDA4-44B9-A991-87BE9B6A4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0740" y="12954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167640</xdr:colOff>
      <xdr:row>0</xdr:row>
      <xdr:rowOff>167640</xdr:rowOff>
    </xdr:from>
    <xdr:to>
      <xdr:col>1</xdr:col>
      <xdr:colOff>456780</xdr:colOff>
      <xdr:row>5</xdr:row>
      <xdr:rowOff>174840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A5A8798-240E-84C1-2347-2E939FFB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67640"/>
          <a:ext cx="921600" cy="921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BA4842F5-FFD7-4721-979E-D7A94A559A04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6438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731520</xdr:colOff>
      <xdr:row>46</xdr:row>
      <xdr:rowOff>121920</xdr:rowOff>
    </xdr:from>
    <xdr:to>
      <xdr:col>11</xdr:col>
      <xdr:colOff>182880</xdr:colOff>
      <xdr:row>52</xdr:row>
      <xdr:rowOff>50124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BD14B8E-F843-41FC-8E5F-AC23574D3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44440" y="816864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0</xdr:row>
      <xdr:rowOff>144780</xdr:rowOff>
    </xdr:from>
    <xdr:to>
      <xdr:col>10</xdr:col>
      <xdr:colOff>772342</xdr:colOff>
      <xdr:row>5</xdr:row>
      <xdr:rowOff>144780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D1CC63-B804-4806-9CF4-EBDED47B3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3120" y="1447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0</xdr:rowOff>
    </xdr:from>
    <xdr:to>
      <xdr:col>1</xdr:col>
      <xdr:colOff>472020</xdr:colOff>
      <xdr:row>6</xdr:row>
      <xdr:rowOff>7200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5829BE7-7B26-4CA1-AE32-4B8110AF8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352C6148-F761-42BE-A5EF-7A7088DE5A0B}"/>
            </a:ext>
          </a:extLst>
        </xdr:cNvPr>
        <xdr:cNvSpPr txBox="1">
          <a:spLocks noChangeArrowheads="1"/>
        </xdr:cNvSpPr>
      </xdr:nvSpPr>
      <xdr:spPr bwMode="auto">
        <a:xfrm>
          <a:off x="1112520" y="53340"/>
          <a:ext cx="452628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739140</xdr:colOff>
      <xdr:row>46</xdr:row>
      <xdr:rowOff>106680</xdr:rowOff>
    </xdr:from>
    <xdr:to>
      <xdr:col>11</xdr:col>
      <xdr:colOff>190500</xdr:colOff>
      <xdr:row>52</xdr:row>
      <xdr:rowOff>72984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95C4BC-2E23-4607-B16E-3831AD5C2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52060" y="815340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342900</xdr:colOff>
      <xdr:row>0</xdr:row>
      <xdr:rowOff>152400</xdr:rowOff>
    </xdr:from>
    <xdr:to>
      <xdr:col>10</xdr:col>
      <xdr:colOff>848542</xdr:colOff>
      <xdr:row>5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1D5D373-931F-46BA-B2CF-A97CD0ED4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9320" y="15240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1</xdr:row>
      <xdr:rowOff>0</xdr:rowOff>
    </xdr:from>
    <xdr:to>
      <xdr:col>1</xdr:col>
      <xdr:colOff>464400</xdr:colOff>
      <xdr:row>6</xdr:row>
      <xdr:rowOff>7200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723E781-1487-4589-8028-8E7DEAABD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40F31470-321B-4E63-8241-30E9525E14BA}"/>
            </a:ext>
          </a:extLst>
        </xdr:cNvPr>
        <xdr:cNvSpPr txBox="1">
          <a:spLocks noChangeArrowheads="1"/>
        </xdr:cNvSpPr>
      </xdr:nvSpPr>
      <xdr:spPr bwMode="auto">
        <a:xfrm>
          <a:off x="1127760" y="53340"/>
          <a:ext cx="464820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oneCellAnchor>
    <xdr:from>
      <xdr:col>7</xdr:col>
      <xdr:colOff>754380</xdr:colOff>
      <xdr:row>34</xdr:row>
      <xdr:rowOff>30480</xdr:rowOff>
    </xdr:from>
    <xdr:ext cx="2232660" cy="949284"/>
    <xdr:pic>
      <xdr:nvPicPr>
        <xdr:cNvPr id="3" name="Picture 2">
          <a:extLst>
            <a:ext uri="{FF2B5EF4-FFF2-40B4-BE49-F238E27FC236}">
              <a16:creationId xmlns:a16="http://schemas.microsoft.com/office/drawing/2014/main" id="{4A54F9F9-34E1-46FB-9D11-4AB614B2A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98720" y="6248400"/>
          <a:ext cx="2232660" cy="949284"/>
        </a:xfrm>
        <a:prstGeom prst="rect">
          <a:avLst/>
        </a:prstGeom>
      </xdr:spPr>
    </xdr:pic>
    <xdr:clientData/>
  </xdr:oneCellAnchor>
  <xdr:oneCellAnchor>
    <xdr:from>
      <xdr:col>9</xdr:col>
      <xdr:colOff>342900</xdr:colOff>
      <xdr:row>0</xdr:row>
      <xdr:rowOff>152400</xdr:rowOff>
    </xdr:from>
    <xdr:ext cx="947602" cy="914400"/>
    <xdr:pic>
      <xdr:nvPicPr>
        <xdr:cNvPr id="4" name="Picture 3">
          <a:extLst>
            <a:ext uri="{FF2B5EF4-FFF2-40B4-BE49-F238E27FC236}">
              <a16:creationId xmlns:a16="http://schemas.microsoft.com/office/drawing/2014/main" id="{F59C8249-5D09-4EF1-8559-EA8D14A03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460" y="152400"/>
          <a:ext cx="947602" cy="914400"/>
        </a:xfrm>
        <a:prstGeom prst="rect">
          <a:avLst/>
        </a:prstGeom>
      </xdr:spPr>
    </xdr:pic>
    <xdr:clientData/>
  </xdr:oneCellAnchor>
  <xdr:oneCellAnchor>
    <xdr:from>
      <xdr:col>0</xdr:col>
      <xdr:colOff>175260</xdr:colOff>
      <xdr:row>1</xdr:row>
      <xdr:rowOff>0</xdr:rowOff>
    </xdr:from>
    <xdr:ext cx="921600" cy="921600"/>
    <xdr:pic>
      <xdr:nvPicPr>
        <xdr:cNvPr id="5" name="Picture 4">
          <a:extLst>
            <a:ext uri="{FF2B5EF4-FFF2-40B4-BE49-F238E27FC236}">
              <a16:creationId xmlns:a16="http://schemas.microsoft.com/office/drawing/2014/main" id="{AEC4F417-EDCD-43C7-AABA-C3083E5FB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82880"/>
          <a:ext cx="921600" cy="9216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A15E678F-DBE8-48C1-88AB-1FA22714CA93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EE90828A-A34D-49A5-82CA-D2B22879C947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93B1579-A8B6-43E8-AF8C-F67602F8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45380" y="811530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259080</xdr:colOff>
      <xdr:row>1</xdr:row>
      <xdr:rowOff>0</xdr:rowOff>
    </xdr:from>
    <xdr:to>
      <xdr:col>10</xdr:col>
      <xdr:colOff>711382</xdr:colOff>
      <xdr:row>6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02982BB-5D15-40E1-9CBB-09A59AB66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5980" y="1828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</xdr:row>
      <xdr:rowOff>0</xdr:rowOff>
    </xdr:from>
    <xdr:to>
      <xdr:col>1</xdr:col>
      <xdr:colOff>441540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B54DF4-605C-4350-BCB6-319E4301B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2BB8BD88-B0AC-4E12-9EBB-740A72D48F07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9BEFE8CB-FC9D-405E-8C7E-7FAE27AFFDF6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7153F28-8F46-480F-83D4-D0447CE2F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0</xdr:row>
      <xdr:rowOff>167640</xdr:rowOff>
    </xdr:from>
    <xdr:to>
      <xdr:col>10</xdr:col>
      <xdr:colOff>703762</xdr:colOff>
      <xdr:row>5</xdr:row>
      <xdr:rowOff>167640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1113D7D-07BA-42FA-9DD4-CAC48CEBA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8360" y="16764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0</xdr:row>
      <xdr:rowOff>175260</xdr:rowOff>
    </xdr:from>
    <xdr:to>
      <xdr:col>1</xdr:col>
      <xdr:colOff>472020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42964FD-9924-41BE-A121-AE7B6B0C8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A2CABCFD-5974-4DBA-9ACA-6F614D8C9A49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7F0EFFB9-4CBA-453D-9E27-FA593B5EF84F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4740D7-ED05-45CC-8727-4298259F1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0</xdr:row>
      <xdr:rowOff>167640</xdr:rowOff>
    </xdr:from>
    <xdr:to>
      <xdr:col>10</xdr:col>
      <xdr:colOff>703762</xdr:colOff>
      <xdr:row>5</xdr:row>
      <xdr:rowOff>167640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25C4C94-F08C-4527-8DDF-494B7DBF5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8360" y="16764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167640</xdr:rowOff>
    </xdr:from>
    <xdr:to>
      <xdr:col>1</xdr:col>
      <xdr:colOff>464400</xdr:colOff>
      <xdr:row>5</xdr:row>
      <xdr:rowOff>174840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A61875E-C0C4-484C-9CFF-459EBE7E8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67640"/>
          <a:ext cx="921600" cy="921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8F61B7F7-80FC-4727-B642-91C83B9106D4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BD68AEB-8016-4F47-A4D0-CACBE7B86474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B7EA9B3-BECB-41AC-8835-91A6ABF6F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274320</xdr:colOff>
      <xdr:row>1</xdr:row>
      <xdr:rowOff>0</xdr:rowOff>
    </xdr:from>
    <xdr:to>
      <xdr:col>10</xdr:col>
      <xdr:colOff>726622</xdr:colOff>
      <xdr:row>6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2FF238A-D502-4180-BA75-DA17E3A23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1828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175260</xdr:rowOff>
    </xdr:from>
    <xdr:to>
      <xdr:col>1</xdr:col>
      <xdr:colOff>464400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520C54F-7155-4171-904D-E6B4A15FE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8DFE7CF6-02B4-4F14-854B-624346450AFA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65355C58-E61C-4BAF-A99F-5A0654C50F18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671E07D-E83C-4F0C-AB4B-70A63A1BE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274320</xdr:colOff>
      <xdr:row>0</xdr:row>
      <xdr:rowOff>175260</xdr:rowOff>
    </xdr:from>
    <xdr:to>
      <xdr:col>10</xdr:col>
      <xdr:colOff>726622</xdr:colOff>
      <xdr:row>5</xdr:row>
      <xdr:rowOff>175260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24EE62-A4C1-42B8-BFC7-F17EAD4E1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17526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1</xdr:row>
      <xdr:rowOff>7620</xdr:rowOff>
    </xdr:from>
    <xdr:to>
      <xdr:col>1</xdr:col>
      <xdr:colOff>464400</xdr:colOff>
      <xdr:row>6</xdr:row>
      <xdr:rowOff>14820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AF50CD2-E9E7-40A9-9DDD-624C022B7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90500"/>
          <a:ext cx="921600" cy="9216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D69EC0BA-3583-4AFE-B745-27ACD5652E3F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738A1D19-5258-48CD-877F-644D65E0A836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3D08ED-FD6E-442A-9351-B2DE72F03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259080</xdr:colOff>
      <xdr:row>0</xdr:row>
      <xdr:rowOff>175260</xdr:rowOff>
    </xdr:from>
    <xdr:to>
      <xdr:col>10</xdr:col>
      <xdr:colOff>711382</xdr:colOff>
      <xdr:row>5</xdr:row>
      <xdr:rowOff>175260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4D25DB2-7AEA-4488-A9B3-DE8216C1F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5980" y="17526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0</xdr:row>
      <xdr:rowOff>175260</xdr:rowOff>
    </xdr:from>
    <xdr:to>
      <xdr:col>1</xdr:col>
      <xdr:colOff>464400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54D836-DBF9-4B4B-9853-189602F47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B1E29F30-664F-41B5-97AD-6B2C1A2ECD26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37A67407-AEA6-4811-96C8-417C193F8482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FF5B2EB-E318-4D12-8AFC-23DF815D1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0</xdr:row>
      <xdr:rowOff>160020</xdr:rowOff>
    </xdr:from>
    <xdr:to>
      <xdr:col>10</xdr:col>
      <xdr:colOff>719002</xdr:colOff>
      <xdr:row>5</xdr:row>
      <xdr:rowOff>160020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D6A9092-8065-4196-B84D-DD2A413DB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6002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0</xdr:row>
      <xdr:rowOff>175260</xdr:rowOff>
    </xdr:from>
    <xdr:to>
      <xdr:col>1</xdr:col>
      <xdr:colOff>479640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866219-F84A-4083-8C37-B069DACF6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176894DA-FDD6-4389-91F4-E9D7FAB42261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87BD2EE5-51DF-44EE-84F6-0437923BB838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88414B2-8D07-4D31-8EF6-48715237A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281940</xdr:colOff>
      <xdr:row>1</xdr:row>
      <xdr:rowOff>0</xdr:rowOff>
    </xdr:from>
    <xdr:to>
      <xdr:col>10</xdr:col>
      <xdr:colOff>734242</xdr:colOff>
      <xdr:row>6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1F999B7-757D-4393-B050-71BCBF5D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8840" y="1828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0</xdr:row>
      <xdr:rowOff>167640</xdr:rowOff>
    </xdr:from>
    <xdr:to>
      <xdr:col>1</xdr:col>
      <xdr:colOff>472020</xdr:colOff>
      <xdr:row>5</xdr:row>
      <xdr:rowOff>174840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B94E585-B905-49EC-81A3-D0B1EDF49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67640"/>
          <a:ext cx="921600" cy="9216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1D68600A-D1E6-45B0-8750-1AF47A1E72F1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F8F52FB0-61B1-4A49-835B-D6C6DFB5C188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A076057-6120-4614-9332-7D68A06C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266700</xdr:colOff>
      <xdr:row>0</xdr:row>
      <xdr:rowOff>152400</xdr:rowOff>
    </xdr:from>
    <xdr:to>
      <xdr:col>10</xdr:col>
      <xdr:colOff>719002</xdr:colOff>
      <xdr:row>5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FBE6AD1-C573-4ECE-AE2B-96CEB8DB8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15240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1</xdr:row>
      <xdr:rowOff>0</xdr:rowOff>
    </xdr:from>
    <xdr:to>
      <xdr:col>1</xdr:col>
      <xdr:colOff>464400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486F32D-376B-4022-B4E2-C1AE17B32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9B092305-0405-44CE-B4B1-E7DA710A3935}"/>
            </a:ext>
          </a:extLst>
        </xdr:cNvPr>
        <xdr:cNvSpPr txBox="1">
          <a:spLocks noChangeArrowheads="1"/>
        </xdr:cNvSpPr>
      </xdr:nvSpPr>
      <xdr:spPr bwMode="auto">
        <a:xfrm>
          <a:off x="1135380" y="119380"/>
          <a:ext cx="469392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E0EF7DD2-3FA0-4234-963D-3B7277C96BDA}"/>
            </a:ext>
          </a:extLst>
        </xdr:cNvPr>
        <xdr:cNvSpPr txBox="1">
          <a:spLocks noChangeArrowheads="1"/>
        </xdr:cNvSpPr>
      </xdr:nvSpPr>
      <xdr:spPr bwMode="auto">
        <a:xfrm>
          <a:off x="1135380" y="53340"/>
          <a:ext cx="469392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48</xdr:row>
      <xdr:rowOff>114300</xdr:rowOff>
    </xdr:from>
    <xdr:to>
      <xdr:col>11</xdr:col>
      <xdr:colOff>129539</xdr:colOff>
      <xdr:row>54</xdr:row>
      <xdr:rowOff>80604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4BED353-9222-4CB2-A426-BDF83BFDD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75860" y="8145780"/>
          <a:ext cx="2232659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289560</xdr:colOff>
      <xdr:row>0</xdr:row>
      <xdr:rowOff>152400</xdr:rowOff>
    </xdr:from>
    <xdr:to>
      <xdr:col>10</xdr:col>
      <xdr:colOff>741862</xdr:colOff>
      <xdr:row>5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FAC2E00-C4B8-4E9B-A323-A33B9CDD7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460" y="15240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167640</xdr:colOff>
      <xdr:row>0</xdr:row>
      <xdr:rowOff>175260</xdr:rowOff>
    </xdr:from>
    <xdr:to>
      <xdr:col>1</xdr:col>
      <xdr:colOff>456780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B53DBA-F367-485F-881B-863D074F4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97C2D0BC-6859-45A6-9C67-EADAA24C7E2B}"/>
            </a:ext>
          </a:extLst>
        </xdr:cNvPr>
        <xdr:cNvSpPr txBox="1">
          <a:spLocks noChangeArrowheads="1"/>
        </xdr:cNvSpPr>
      </xdr:nvSpPr>
      <xdr:spPr bwMode="auto">
        <a:xfrm>
          <a:off x="1165860" y="119380"/>
          <a:ext cx="495300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DC1856ED-D0F8-426C-B907-F61FF37AEC63}"/>
            </a:ext>
          </a:extLst>
        </xdr:cNvPr>
        <xdr:cNvSpPr txBox="1">
          <a:spLocks noChangeArrowheads="1"/>
        </xdr:cNvSpPr>
      </xdr:nvSpPr>
      <xdr:spPr bwMode="auto">
        <a:xfrm>
          <a:off x="1165860" y="53340"/>
          <a:ext cx="495300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oneCellAnchor>
    <xdr:from>
      <xdr:col>7</xdr:col>
      <xdr:colOff>518160</xdr:colOff>
      <xdr:row>41</xdr:row>
      <xdr:rowOff>83820</xdr:rowOff>
    </xdr:from>
    <xdr:ext cx="2232660" cy="949284"/>
    <xdr:pic>
      <xdr:nvPicPr>
        <xdr:cNvPr id="8" name="Picture 7">
          <a:extLst>
            <a:ext uri="{FF2B5EF4-FFF2-40B4-BE49-F238E27FC236}">
              <a16:creationId xmlns:a16="http://schemas.microsoft.com/office/drawing/2014/main" id="{66CF8812-6DCE-4B55-87FA-347EFFEC8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158740" y="7581900"/>
          <a:ext cx="2232660" cy="949284"/>
        </a:xfrm>
        <a:prstGeom prst="rect">
          <a:avLst/>
        </a:prstGeom>
      </xdr:spPr>
    </xdr:pic>
    <xdr:clientData/>
  </xdr:oneCellAnchor>
  <xdr:twoCellAnchor editAs="oneCell">
    <xdr:from>
      <xdr:col>9</xdr:col>
      <xdr:colOff>175260</xdr:colOff>
      <xdr:row>0</xdr:row>
      <xdr:rowOff>144780</xdr:rowOff>
    </xdr:from>
    <xdr:to>
      <xdr:col>10</xdr:col>
      <xdr:colOff>490402</xdr:colOff>
      <xdr:row>5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ED0E2D1-8F9A-42C1-B39F-60DB1BA42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7400" y="1447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0</xdr:row>
      <xdr:rowOff>175260</xdr:rowOff>
    </xdr:from>
    <xdr:to>
      <xdr:col>1</xdr:col>
      <xdr:colOff>472020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84E3F7E-4054-49BC-A9E2-F093C0D0F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8BF74DD8-D497-428D-8379-4D41EDBDC264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E390445B-0701-4B68-9500-B83A3F79D71E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612738</xdr:colOff>
      <xdr:row>51</xdr:row>
      <xdr:rowOff>55581</xdr:rowOff>
    </xdr:from>
    <xdr:to>
      <xdr:col>11</xdr:col>
      <xdr:colOff>125058</xdr:colOff>
      <xdr:row>57</xdr:row>
      <xdr:rowOff>59986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79637B-1535-40A7-AA86-59C37A367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grayscl/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  <a14:imgEffect>
                    <a14:artisticMarker/>
                  </a14:imgEffect>
                  <a14:imgEffect>
                    <a14:sharpenSoften amount="25000"/>
                  </a14:imgEffect>
                  <a14:imgEffect>
                    <a14:brightnessContrast bright="20000"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039958" y="8490921"/>
          <a:ext cx="2232660" cy="926425"/>
        </a:xfrm>
        <a:prstGeom prst="rect">
          <a:avLst/>
        </a:prstGeom>
      </xdr:spPr>
    </xdr:pic>
    <xdr:clientData/>
  </xdr:twoCellAnchor>
  <xdr:twoCellAnchor editAs="oneCell">
    <xdr:from>
      <xdr:col>9</xdr:col>
      <xdr:colOff>152400</xdr:colOff>
      <xdr:row>0</xdr:row>
      <xdr:rowOff>160020</xdr:rowOff>
    </xdr:from>
    <xdr:to>
      <xdr:col>10</xdr:col>
      <xdr:colOff>467542</xdr:colOff>
      <xdr:row>5</xdr:row>
      <xdr:rowOff>160020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647465-14C5-49E2-AEC2-97DA1A36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4540" y="16002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0</xdr:rowOff>
    </xdr:from>
    <xdr:to>
      <xdr:col>1</xdr:col>
      <xdr:colOff>472020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924136C-7E21-4900-835E-AB946F335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0D1631FE-7337-40B4-9D1B-3B6BCFA7DE8A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7C58E3FB-CBDF-4DDE-A5FF-AA0B0538B1A9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510540</xdr:colOff>
      <xdr:row>45</xdr:row>
      <xdr:rowOff>182880</xdr:rowOff>
    </xdr:from>
    <xdr:to>
      <xdr:col>11</xdr:col>
      <xdr:colOff>441960</xdr:colOff>
      <xdr:row>51</xdr:row>
      <xdr:rowOff>27264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1CF00D-ACDC-41C0-BB2F-0D92A6C4E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37760" y="817626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182880</xdr:colOff>
      <xdr:row>0</xdr:row>
      <xdr:rowOff>160020</xdr:rowOff>
    </xdr:from>
    <xdr:to>
      <xdr:col>10</xdr:col>
      <xdr:colOff>414202</xdr:colOff>
      <xdr:row>5</xdr:row>
      <xdr:rowOff>160020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4101168-05EC-40FA-85FD-D95A1DB41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5020" y="16002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198120</xdr:colOff>
      <xdr:row>0</xdr:row>
      <xdr:rowOff>175260</xdr:rowOff>
    </xdr:from>
    <xdr:to>
      <xdr:col>2</xdr:col>
      <xdr:colOff>52920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3EF243D-1DF4-445C-9321-4A7E86104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7166632A-29CD-4947-A8B1-B08DD7B13D0F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1450624D-18A9-4718-A8FD-439CC252E764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525780</xdr:colOff>
      <xdr:row>45</xdr:row>
      <xdr:rowOff>137160</xdr:rowOff>
    </xdr:from>
    <xdr:to>
      <xdr:col>11</xdr:col>
      <xdr:colOff>228600</xdr:colOff>
      <xdr:row>50</xdr:row>
      <xdr:rowOff>172044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291916-0CB7-4971-8E54-196FFE82A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53000" y="805434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167640</xdr:colOff>
      <xdr:row>0</xdr:row>
      <xdr:rowOff>121920</xdr:rowOff>
    </xdr:from>
    <xdr:to>
      <xdr:col>10</xdr:col>
      <xdr:colOff>482782</xdr:colOff>
      <xdr:row>5</xdr:row>
      <xdr:rowOff>121920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908A7FA-39A7-4E72-98EC-12D0C4F4C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12192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0</xdr:rowOff>
    </xdr:from>
    <xdr:to>
      <xdr:col>1</xdr:col>
      <xdr:colOff>472020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9798FA1-DCFA-4A0E-B46D-44622A10D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38541C9D-FF0A-4925-853D-0B452E0A34EB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28B125FA-EB41-4CA8-9913-06F13C164302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518160</xdr:colOff>
      <xdr:row>42</xdr:row>
      <xdr:rowOff>38100</xdr:rowOff>
    </xdr:from>
    <xdr:to>
      <xdr:col>11</xdr:col>
      <xdr:colOff>220980</xdr:colOff>
      <xdr:row>47</xdr:row>
      <xdr:rowOff>72984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F48B177-6657-4B50-92E8-3D4FBFE92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45380" y="755142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167640</xdr:colOff>
      <xdr:row>0</xdr:row>
      <xdr:rowOff>144780</xdr:rowOff>
    </xdr:from>
    <xdr:to>
      <xdr:col>10</xdr:col>
      <xdr:colOff>482782</xdr:colOff>
      <xdr:row>5</xdr:row>
      <xdr:rowOff>144780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B0E23FA-C4B3-43CD-9E41-3430615E3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1447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0</xdr:row>
      <xdr:rowOff>175260</xdr:rowOff>
    </xdr:from>
    <xdr:to>
      <xdr:col>1</xdr:col>
      <xdr:colOff>479640</xdr:colOff>
      <xdr:row>5</xdr:row>
      <xdr:rowOff>182460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206A0CE-6AA3-48EE-BB20-F898A0445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75260"/>
          <a:ext cx="921600" cy="9216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7" name="Text Box 4">
          <a:extLst>
            <a:ext uri="{FF2B5EF4-FFF2-40B4-BE49-F238E27FC236}">
              <a16:creationId xmlns:a16="http://schemas.microsoft.com/office/drawing/2014/main" id="{24789EFC-2595-4342-B40C-22A1B91C2F07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B362B92-5860-4B87-89B0-68B63C30521E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480060</xdr:colOff>
      <xdr:row>46</xdr:row>
      <xdr:rowOff>68580</xdr:rowOff>
    </xdr:from>
    <xdr:to>
      <xdr:col>11</xdr:col>
      <xdr:colOff>182880</xdr:colOff>
      <xdr:row>51</xdr:row>
      <xdr:rowOff>103464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B8AA44-D674-4406-BCEB-EDDC934F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07280" y="796290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182880</xdr:colOff>
      <xdr:row>0</xdr:row>
      <xdr:rowOff>144780</xdr:rowOff>
    </xdr:from>
    <xdr:to>
      <xdr:col>10</xdr:col>
      <xdr:colOff>498022</xdr:colOff>
      <xdr:row>5</xdr:row>
      <xdr:rowOff>144780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7805A5-BFB1-4597-B765-F16C1A3DD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5020" y="14478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1</xdr:row>
      <xdr:rowOff>0</xdr:rowOff>
    </xdr:from>
    <xdr:to>
      <xdr:col>1</xdr:col>
      <xdr:colOff>464400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82A9CCC-7A36-4B08-99DA-1754BFEBF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182880"/>
          <a:ext cx="921600" cy="9216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0</xdr:row>
      <xdr:rowOff>119380</xdr:rowOff>
    </xdr:from>
    <xdr:to>
      <xdr:col>9</xdr:col>
      <xdr:colOff>152400</xdr:colOff>
      <xdr:row>6</xdr:row>
      <xdr:rowOff>104140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3A041112-D7E4-46FE-85E6-8C7BBA1259BA}"/>
            </a:ext>
          </a:extLst>
        </xdr:cNvPr>
        <xdr:cNvSpPr txBox="1">
          <a:spLocks noChangeArrowheads="1"/>
        </xdr:cNvSpPr>
      </xdr:nvSpPr>
      <xdr:spPr bwMode="auto">
        <a:xfrm>
          <a:off x="1120140" y="119380"/>
          <a:ext cx="4587240" cy="108204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Republic of the Philippines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Department of Health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CENTRAL VISAYAS CENTER FOR HEALTH DEVELOPMENT</a:t>
          </a:r>
          <a:endParaRPr lang="en-US" sz="10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DOH - Central Visayas Clinical Laboratory</a:t>
          </a:r>
          <a:endParaRPr lang="en-US" sz="1800" b="0" i="0" u="none" strike="noStrike" baseline="0">
            <a:solidFill>
              <a:srgbClr val="000000"/>
            </a:solidFill>
            <a:latin typeface="Calibri"/>
            <a:cs typeface="Calibri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Osmeña Boulevard, Sambag II, Cebu City, Cebu, Philippines</a:t>
          </a:r>
        </a:p>
      </xdr:txBody>
    </xdr:sp>
    <xdr:clientData/>
  </xdr:twoCellAnchor>
  <xdr:twoCellAnchor>
    <xdr:from>
      <xdr:col>1</xdr:col>
      <xdr:colOff>502920</xdr:colOff>
      <xdr:row>0</xdr:row>
      <xdr:rowOff>53340</xdr:rowOff>
    </xdr:from>
    <xdr:to>
      <xdr:col>9</xdr:col>
      <xdr:colOff>152400</xdr:colOff>
      <xdr:row>6</xdr:row>
      <xdr:rowOff>144060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BDD2B045-B8BE-4606-81CA-35F068FABA82}"/>
            </a:ext>
          </a:extLst>
        </xdr:cNvPr>
        <xdr:cNvSpPr txBox="1">
          <a:spLocks noChangeArrowheads="1"/>
        </xdr:cNvSpPr>
      </xdr:nvSpPr>
      <xdr:spPr bwMode="auto">
        <a:xfrm>
          <a:off x="1120140" y="53340"/>
          <a:ext cx="4587240" cy="11880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635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0" rIns="91440" bIns="0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Republic of the Philippines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Department of Health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CENTRAL VISAYAS CENTER FOR HEALTH DEVELOPMENT</a:t>
          </a:r>
          <a:endParaRPr kumimoji="0" lang="en-US" sz="10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6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DOH - Central Visayas Clinical Laboratory</a:t>
          </a:r>
          <a:endParaRPr kumimoji="0" lang="en-US" sz="16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Calibri"/>
          </a:endParaRP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Osmeña Boulevard, Sambag II, Cebu City, Cebu, Philippines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License To Operate: 07-116-26-CL-1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/>
              <a:ea typeface="+mn-ea"/>
              <a:cs typeface="Times New Roman"/>
            </a:rPr>
            <a:t>Issued: 01 January 2026; Valid Until: 31 December 2026</a:t>
          </a:r>
        </a:p>
      </xdr:txBody>
    </xdr:sp>
    <xdr:clientData/>
  </xdr:twoCellAnchor>
  <xdr:twoCellAnchor editAs="oneCell">
    <xdr:from>
      <xdr:col>7</xdr:col>
      <xdr:colOff>510540</xdr:colOff>
      <xdr:row>45</xdr:row>
      <xdr:rowOff>182880</xdr:rowOff>
    </xdr:from>
    <xdr:to>
      <xdr:col>11</xdr:col>
      <xdr:colOff>213360</xdr:colOff>
      <xdr:row>51</xdr:row>
      <xdr:rowOff>27264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871DF80-01C9-4850-B23F-CF86DADDE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937760" y="8176260"/>
          <a:ext cx="2232660" cy="949284"/>
        </a:xfrm>
        <a:prstGeom prst="rect">
          <a:avLst/>
        </a:prstGeom>
      </xdr:spPr>
    </xdr:pic>
    <xdr:clientData/>
  </xdr:twoCellAnchor>
  <xdr:twoCellAnchor editAs="oneCell">
    <xdr:from>
      <xdr:col>9</xdr:col>
      <xdr:colOff>167640</xdr:colOff>
      <xdr:row>0</xdr:row>
      <xdr:rowOff>167640</xdr:rowOff>
    </xdr:from>
    <xdr:to>
      <xdr:col>10</xdr:col>
      <xdr:colOff>482782</xdr:colOff>
      <xdr:row>5</xdr:row>
      <xdr:rowOff>167640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AB48C6A-1162-454C-B5E5-D943FA743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167640"/>
          <a:ext cx="947602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182880</xdr:colOff>
      <xdr:row>1</xdr:row>
      <xdr:rowOff>0</xdr:rowOff>
    </xdr:from>
    <xdr:to>
      <xdr:col>1</xdr:col>
      <xdr:colOff>472020</xdr:colOff>
      <xdr:row>6</xdr:row>
      <xdr:rowOff>7200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8240E5B-C58C-4876-9A89-574666F2E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82880"/>
          <a:ext cx="921600" cy="921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A4CC-453A-4E4F-A3E9-C108165764B8}">
  <sheetPr>
    <pageSetUpPr fitToPage="1"/>
  </sheetPr>
  <dimension ref="A1:K64"/>
  <sheetViews>
    <sheetView view="pageLayout" topLeftCell="A5" zoomScale="70" zoomScaleNormal="100" zoomScalePageLayoutView="70" workbookViewId="0">
      <selection activeCell="A53" sqref="A53:D53"/>
    </sheetView>
  </sheetViews>
  <sheetFormatPr defaultRowHeight="14.4"/>
  <cols>
    <col min="1" max="2" width="9" customWidth="1"/>
    <col min="3" max="3" width="5.6640625" customWidth="1"/>
    <col min="4" max="4" width="12" customWidth="1"/>
    <col min="5" max="5" width="6.33203125" customWidth="1"/>
    <col min="6" max="6" width="6.5546875" customWidth="1"/>
    <col min="7" max="7" width="13.44140625" customWidth="1"/>
    <col min="8" max="8" width="12" customWidth="1"/>
    <col min="9" max="9" width="7.21875" customWidth="1"/>
    <col min="10" max="10" width="6.5546875" customWidth="1"/>
    <col min="11" max="11" width="13.33203125" customWidth="1"/>
    <col min="12" max="12" width="9.6640625" bestFit="1" customWidth="1"/>
    <col min="14" max="14" width="9.6640625" bestFit="1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2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4.2" customHeight="1"/>
    <row r="9" spans="1:11" ht="14.1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2" customHeight="1" thickBot="1"/>
    <row r="11" spans="1:1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>
        <f>A12</f>
        <v>0</v>
      </c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4.9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8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4.9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27</v>
      </c>
      <c r="G18" s="181"/>
      <c r="H18" s="179"/>
      <c r="I18" s="180"/>
      <c r="J18" s="180"/>
      <c r="K18" s="181"/>
    </row>
    <row r="19" spans="1:1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0.54166666666666663</v>
      </c>
      <c r="I20" s="185"/>
      <c r="J20" s="199"/>
      <c r="K20" s="200"/>
    </row>
    <row r="21" spans="1:11">
      <c r="A21" s="192" t="s">
        <v>33</v>
      </c>
      <c r="B21" s="193"/>
      <c r="C21" s="193"/>
      <c r="D21" s="193"/>
      <c r="E21" s="193"/>
      <c r="F21" s="193"/>
      <c r="G21" s="193"/>
      <c r="H21" s="193"/>
      <c r="I21" s="193"/>
      <c r="J21" s="193"/>
      <c r="K21" s="194"/>
    </row>
    <row r="22" spans="1:11" ht="15" thickBot="1">
      <c r="A22" s="195"/>
      <c r="B22" s="196"/>
      <c r="C22" s="196"/>
      <c r="D22" s="196"/>
      <c r="E22" s="196"/>
      <c r="F22" s="196"/>
      <c r="G22" s="196"/>
      <c r="H22" s="196"/>
      <c r="I22" s="196"/>
      <c r="J22" s="196"/>
      <c r="K22" s="197"/>
    </row>
    <row r="23" spans="1:11" ht="11.25" customHeight="1" thickBot="1">
      <c r="A23" s="201"/>
      <c r="B23" s="202"/>
      <c r="C23" s="202"/>
      <c r="D23" s="202"/>
      <c r="E23" s="202"/>
      <c r="F23" s="202"/>
      <c r="G23" s="202"/>
      <c r="H23" s="202"/>
      <c r="I23" s="202"/>
      <c r="J23" s="202"/>
      <c r="K23" s="203"/>
    </row>
    <row r="24" spans="1:11" s="107" customFormat="1" ht="29.4" customHeight="1" thickBot="1">
      <c r="A24" s="204" t="s">
        <v>18</v>
      </c>
      <c r="B24" s="205"/>
      <c r="C24" s="206"/>
      <c r="D24" s="210" t="s">
        <v>9</v>
      </c>
      <c r="E24" s="211"/>
      <c r="F24" s="212" t="s">
        <v>24</v>
      </c>
      <c r="G24" s="214" t="s">
        <v>11</v>
      </c>
      <c r="H24" s="210" t="s">
        <v>9</v>
      </c>
      <c r="I24" s="211"/>
      <c r="J24" s="212" t="s">
        <v>24</v>
      </c>
      <c r="K24" s="214" t="s">
        <v>11</v>
      </c>
    </row>
    <row r="25" spans="1:11" ht="15" thickBot="1">
      <c r="A25" s="207"/>
      <c r="B25" s="208"/>
      <c r="C25" s="209"/>
      <c r="D25" s="216" t="s">
        <v>146</v>
      </c>
      <c r="E25" s="217"/>
      <c r="F25" s="213"/>
      <c r="G25" s="215"/>
      <c r="H25" s="216" t="s">
        <v>145</v>
      </c>
      <c r="I25" s="217"/>
      <c r="J25" s="213"/>
      <c r="K25" s="215"/>
    </row>
    <row r="26" spans="1:11" ht="4.95" customHeight="1">
      <c r="A26" s="16"/>
      <c r="C26" s="106"/>
      <c r="F26" s="36"/>
      <c r="G26" s="105"/>
      <c r="J26" s="9"/>
      <c r="K26" s="5"/>
    </row>
    <row r="27" spans="1:11">
      <c r="A27" s="104" t="s">
        <v>34</v>
      </c>
      <c r="B27" s="103"/>
      <c r="C27" s="93"/>
      <c r="D27" s="91"/>
      <c r="E27" s="90" t="s">
        <v>98</v>
      </c>
      <c r="F27" s="89" t="str">
        <f>IF(D27&lt;60,"L",IF(D27&lt;=100,"",IF(D27&gt;100,"H")))</f>
        <v>L</v>
      </c>
      <c r="G27" s="102" t="s">
        <v>144</v>
      </c>
      <c r="H27" s="91">
        <f>D27*0.0554915854738707</f>
        <v>0</v>
      </c>
      <c r="I27" s="90" t="s">
        <v>35</v>
      </c>
      <c r="J27" s="89" t="str">
        <f>IF(H27&lt;3.5,"L",IF(H27&lt;=5.5,"",IF(H27&gt;5.5,"H")))</f>
        <v>L</v>
      </c>
      <c r="K27" s="101" t="s">
        <v>36</v>
      </c>
    </row>
    <row r="28" spans="1:11">
      <c r="A28" s="70" t="s">
        <v>37</v>
      </c>
      <c r="B28" s="79"/>
      <c r="C28" s="78"/>
      <c r="D28" s="67"/>
      <c r="E28" s="66" t="s">
        <v>98</v>
      </c>
      <c r="F28" s="75" t="str">
        <f>IF(D28&lt;200,"",IF(D28&gt;=200,"H"))</f>
        <v/>
      </c>
      <c r="G28" s="68" t="s">
        <v>143</v>
      </c>
      <c r="H28" s="67">
        <f>D28*0.0554915854738707</f>
        <v>0</v>
      </c>
      <c r="I28" s="66" t="s">
        <v>35</v>
      </c>
      <c r="J28" s="75" t="str">
        <f>IF(H28&lt;11.1,"",IF(H28&gt;=11.1,"H"))</f>
        <v/>
      </c>
      <c r="K28" s="77" t="s">
        <v>142</v>
      </c>
    </row>
    <row r="29" spans="1:11">
      <c r="A29" s="100" t="s">
        <v>38</v>
      </c>
      <c r="B29" s="46"/>
      <c r="C29" s="99"/>
      <c r="D29" s="97"/>
      <c r="E29" s="52"/>
      <c r="F29" s="96"/>
      <c r="G29" s="98"/>
      <c r="H29" s="97"/>
      <c r="I29" s="52"/>
      <c r="J29" s="96"/>
      <c r="K29" s="95"/>
    </row>
    <row r="30" spans="1:11">
      <c r="A30" s="18"/>
      <c r="B30" s="94" t="s">
        <v>39</v>
      </c>
      <c r="C30" s="93"/>
      <c r="D30" s="91"/>
      <c r="E30" s="90" t="s">
        <v>98</v>
      </c>
      <c r="F30" s="89" t="str">
        <f>IF(D30&lt;0,"L",IF(D30&lt;=200.77,"",IF(D30&gt;200.77,"H")))</f>
        <v/>
      </c>
      <c r="G30" s="92" t="s">
        <v>141</v>
      </c>
      <c r="H30" s="91">
        <f>D30*0.0259997360432889</f>
        <v>0</v>
      </c>
      <c r="I30" s="90" t="s">
        <v>35</v>
      </c>
      <c r="J30" s="89" t="str">
        <f>IF(H30&lt;0,"L",IF(H30&lt;=5.2,"",IF(H30&gt;5.2,"H")))</f>
        <v/>
      </c>
      <c r="K30" s="88" t="s">
        <v>117</v>
      </c>
    </row>
    <row r="31" spans="1:11">
      <c r="A31" s="18"/>
      <c r="B31" s="220" t="s">
        <v>40</v>
      </c>
      <c r="C31" s="221"/>
      <c r="D31" s="67"/>
      <c r="E31" s="66" t="s">
        <v>98</v>
      </c>
      <c r="F31" s="65" t="str">
        <f>IF(D31&lt;34.6,"L",IF(D31&gt;=34.6,""))</f>
        <v>L</v>
      </c>
      <c r="G31" s="68" t="s">
        <v>140</v>
      </c>
      <c r="H31" s="67">
        <f>D31*0.0259997360432889</f>
        <v>0</v>
      </c>
      <c r="I31" s="66" t="s">
        <v>35</v>
      </c>
      <c r="J31" s="65" t="str">
        <f>IF(H31&lt;0.9,"L",IF(H31&gt;=0.9,""))</f>
        <v>L</v>
      </c>
      <c r="K31" s="77" t="s">
        <v>118</v>
      </c>
    </row>
    <row r="32" spans="1:11">
      <c r="A32" s="16"/>
      <c r="B32" s="220" t="s">
        <v>41</v>
      </c>
      <c r="C32" s="221"/>
      <c r="D32" s="67"/>
      <c r="E32" s="66" t="s">
        <v>98</v>
      </c>
      <c r="F32" s="71" t="str">
        <f>IF(D32&lt;0,"L",IF(D32&lt;=99.6,"",IF(D32&gt;99.6,"H")))</f>
        <v/>
      </c>
      <c r="G32" s="73" t="s">
        <v>139</v>
      </c>
      <c r="H32" s="67">
        <f>D32*0.0259997360432889</f>
        <v>0</v>
      </c>
      <c r="I32" s="66" t="s">
        <v>35</v>
      </c>
      <c r="J32" s="71" t="str">
        <f>IF(H32&lt;0,"L",IF(H32&lt;=2.59,"",IF(H32&gt;2.59,"H")))</f>
        <v/>
      </c>
      <c r="K32" s="87" t="s">
        <v>42</v>
      </c>
    </row>
    <row r="33" spans="1:11">
      <c r="A33" s="18"/>
      <c r="B33" s="220" t="s">
        <v>43</v>
      </c>
      <c r="C33" s="221"/>
      <c r="D33" s="67"/>
      <c r="E33" s="66" t="s">
        <v>98</v>
      </c>
      <c r="F33" s="75" t="str">
        <f>IF(D33&lt;1.9,"L",IF(D33&lt;=30.76,"",IF(D33&gt;30.76,"H")))</f>
        <v>L</v>
      </c>
      <c r="G33" s="68" t="s">
        <v>138</v>
      </c>
      <c r="H33" s="67">
        <f>D33*0.0259997360432889</f>
        <v>0</v>
      </c>
      <c r="I33" s="66" t="s">
        <v>35</v>
      </c>
      <c r="J33" s="75" t="str">
        <f>IF(H33&lt;0.05,"L",IF(H33&lt;=0.8,"",IF(H33&gt;0.8,"H")))</f>
        <v>L</v>
      </c>
      <c r="K33" s="77" t="s">
        <v>44</v>
      </c>
    </row>
    <row r="34" spans="1:11">
      <c r="A34" s="18"/>
      <c r="B34" s="86" t="s">
        <v>45</v>
      </c>
      <c r="C34" s="78"/>
      <c r="D34" s="84"/>
      <c r="E34" s="83" t="s">
        <v>98</v>
      </c>
      <c r="F34" s="82" t="str">
        <f>IF(D34&lt;0,"L",IF(D34&lt;=203.54,"",IF(D34&gt;203.54,"H")))</f>
        <v/>
      </c>
      <c r="G34" s="85" t="s">
        <v>137</v>
      </c>
      <c r="H34" s="84">
        <f>D34*0.0112997464447139</f>
        <v>0</v>
      </c>
      <c r="I34" s="83" t="s">
        <v>35</v>
      </c>
      <c r="J34" s="82" t="str">
        <f>IF(H34&lt;0,"L",IF(H34&lt;=2.3,"",IF(H34&gt;2.3,"H")))</f>
        <v/>
      </c>
      <c r="K34" s="81" t="s">
        <v>136</v>
      </c>
    </row>
    <row r="35" spans="1:11">
      <c r="A35" s="222" t="s">
        <v>46</v>
      </c>
      <c r="B35" s="220"/>
      <c r="C35" s="221"/>
      <c r="D35" s="67"/>
      <c r="E35" s="72" t="s">
        <v>98</v>
      </c>
      <c r="F35" s="80" t="str">
        <f>IF(D35&lt;0.8,"L",IF(D35&lt;=1.3,"",IF(D35&gt;1.3,"H")))</f>
        <v>L</v>
      </c>
      <c r="G35" s="68" t="s">
        <v>135</v>
      </c>
      <c r="H35" s="67">
        <f>D35*88.021978021978</f>
        <v>0</v>
      </c>
      <c r="I35" s="72" t="s">
        <v>47</v>
      </c>
      <c r="J35" s="80" t="str">
        <f>IF(H35&lt;70,"L",IF(H35&lt;=115,"",IF(H35&gt;115,"H")))</f>
        <v>L</v>
      </c>
      <c r="K35" s="77" t="s">
        <v>134</v>
      </c>
    </row>
    <row r="36" spans="1:11">
      <c r="A36" s="222" t="s">
        <v>48</v>
      </c>
      <c r="B36" s="220"/>
      <c r="C36" s="221"/>
      <c r="D36" s="67"/>
      <c r="E36" s="66" t="s">
        <v>98</v>
      </c>
      <c r="F36" s="65" t="str">
        <f>IF(D36&lt;16.87,"L",IF(D36&lt;=43.37,"",IF(D36&gt;43.37,"H")))</f>
        <v>L</v>
      </c>
      <c r="G36" s="68" t="s">
        <v>133</v>
      </c>
      <c r="H36" s="67">
        <f>D36*0.165978530140379</f>
        <v>0</v>
      </c>
      <c r="I36" s="66" t="s">
        <v>35</v>
      </c>
      <c r="J36" s="65" t="str">
        <f>IF(H36&lt;2.8,"L",IF(H36&lt;=7.2,"",IF(H36&gt;7.2,"H")))</f>
        <v>L</v>
      </c>
      <c r="K36" s="77" t="s">
        <v>132</v>
      </c>
    </row>
    <row r="37" spans="1:11">
      <c r="A37" s="70" t="s">
        <v>49</v>
      </c>
      <c r="B37" s="79"/>
      <c r="C37" s="78"/>
      <c r="D37" s="67"/>
      <c r="E37" s="72" t="s">
        <v>98</v>
      </c>
      <c r="F37" s="75" t="str">
        <f>IF(D37&lt;3.6,"L",IF(D37&lt;=8.2,"",IF(D37&gt;8.2,"H")))</f>
        <v>L</v>
      </c>
      <c r="G37" s="68" t="s">
        <v>131</v>
      </c>
      <c r="H37" s="67">
        <f>D37*59.4582723279648</f>
        <v>0</v>
      </c>
      <c r="I37" s="72" t="s">
        <v>47</v>
      </c>
      <c r="J37" s="75" t="str">
        <f>IF(H37&lt;214,"L",IF(H37&lt;=488,"",IF(H37&gt;488,"H")))</f>
        <v>L</v>
      </c>
      <c r="K37" s="77" t="s">
        <v>130</v>
      </c>
    </row>
    <row r="38" spans="1:11">
      <c r="A38" s="222" t="s">
        <v>50</v>
      </c>
      <c r="B38" s="220"/>
      <c r="C38" s="221"/>
      <c r="D38" s="67"/>
      <c r="E38" s="66" t="s">
        <v>51</v>
      </c>
      <c r="F38" s="65" t="str">
        <f>IF(D38&lt;0,"L",IF(D38&lt;=45,"",IF(D38&gt;45,"H")))</f>
        <v/>
      </c>
      <c r="G38" s="68" t="s">
        <v>129</v>
      </c>
      <c r="H38" s="67">
        <f>D38</f>
        <v>0</v>
      </c>
      <c r="I38" s="66" t="s">
        <v>51</v>
      </c>
      <c r="J38" s="65" t="str">
        <f>IF(H38&lt;0,"L",IF(H38&lt;=45,"",IF(H38&gt;45,"H")))</f>
        <v/>
      </c>
      <c r="K38" s="76" t="s">
        <v>128</v>
      </c>
    </row>
    <row r="39" spans="1:11">
      <c r="A39" s="222" t="s">
        <v>52</v>
      </c>
      <c r="B39" s="220"/>
      <c r="C39" s="221"/>
      <c r="D39" s="67"/>
      <c r="E39" s="66" t="s">
        <v>51</v>
      </c>
      <c r="F39" s="65" t="str">
        <f>IF(D39&lt;0,"L",IF(D39&lt;=35,"",IF(D39&gt;35,"H")))</f>
        <v/>
      </c>
      <c r="G39" s="68" t="s">
        <v>127</v>
      </c>
      <c r="H39" s="67">
        <f>D39</f>
        <v>0</v>
      </c>
      <c r="I39" s="66" t="s">
        <v>51</v>
      </c>
      <c r="J39" s="65" t="str">
        <f>IF(H39&lt;0,"L",IF(H39&lt;=35,"",IF(H39&gt;35,"H")))</f>
        <v/>
      </c>
      <c r="K39" s="76" t="s">
        <v>126</v>
      </c>
    </row>
    <row r="40" spans="1:11">
      <c r="A40" s="70" t="s">
        <v>53</v>
      </c>
      <c r="B40" s="69"/>
      <c r="C40" s="74"/>
      <c r="D40" s="67"/>
      <c r="E40" s="72" t="s">
        <v>98</v>
      </c>
      <c r="F40" s="75" t="str">
        <f>IF(D40&lt;0.1,"L",IF(D40&lt;=1.2,"",IF(D40&gt;1.2,"H")))</f>
        <v>L</v>
      </c>
      <c r="G40" s="68" t="s">
        <v>125</v>
      </c>
      <c r="H40" s="67">
        <f>D40*17.1</f>
        <v>0</v>
      </c>
      <c r="I40" s="72" t="s">
        <v>47</v>
      </c>
      <c r="J40" s="75" t="str">
        <f>IF(H40&lt;2,"L",IF(H40&lt;=21,"",IF(H40&gt;21,"H")))</f>
        <v>L</v>
      </c>
      <c r="K40" s="64" t="s">
        <v>124</v>
      </c>
    </row>
    <row r="41" spans="1:11">
      <c r="A41" s="222" t="s">
        <v>54</v>
      </c>
      <c r="B41" s="220"/>
      <c r="C41" s="74"/>
      <c r="D41" s="67"/>
      <c r="E41" s="72" t="s">
        <v>98</v>
      </c>
      <c r="F41" s="71" t="str">
        <f>IF(D41&lt;0,"L",IF(D41&lt;=0.3,"",IF(D41&gt;0.3,"H")))</f>
        <v/>
      </c>
      <c r="G41" s="73" t="s">
        <v>123</v>
      </c>
      <c r="H41" s="67">
        <f>D41*17.1</f>
        <v>0</v>
      </c>
      <c r="I41" s="72" t="s">
        <v>47</v>
      </c>
      <c r="J41" s="71" t="str">
        <f>IF(H41&lt;0,"L",IF(H41&lt;=5.13,"",IF(H41&gt;5.13,"H")))</f>
        <v/>
      </c>
      <c r="K41" s="64" t="s">
        <v>56</v>
      </c>
    </row>
    <row r="42" spans="1:11">
      <c r="A42" s="223" t="s">
        <v>368</v>
      </c>
      <c r="B42" s="224"/>
      <c r="C42" s="225"/>
      <c r="D42" s="67">
        <f>H42/17.1</f>
        <v>0</v>
      </c>
      <c r="E42" s="72" t="s">
        <v>98</v>
      </c>
      <c r="F42" s="65" t="str">
        <f>IF(D42&lt;0.2,"L",IF(D42&lt;=1.2,"",IF(D42&gt;1.2,"H")))</f>
        <v>L</v>
      </c>
      <c r="G42" s="68" t="s">
        <v>369</v>
      </c>
      <c r="H42" s="67">
        <f>H40-H41</f>
        <v>0</v>
      </c>
      <c r="I42" s="72" t="s">
        <v>47</v>
      </c>
      <c r="J42" s="109" t="str">
        <f>IF(H42&lt;3.42,"L",IF(H42&lt;=20.52,"",IF(H42&gt;20.52,"H")))</f>
        <v>L</v>
      </c>
      <c r="K42" s="64" t="s">
        <v>370</v>
      </c>
    </row>
    <row r="43" spans="1:11">
      <c r="A43" s="70" t="s">
        <v>55</v>
      </c>
      <c r="B43" s="69"/>
      <c r="C43" s="117"/>
      <c r="D43" s="67"/>
      <c r="E43" s="66" t="s">
        <v>51</v>
      </c>
      <c r="F43" s="118" t="str">
        <f>IF(D43&lt;11,"L",IF(D43&lt;=61,"",IF(D43&gt;61,"H")))</f>
        <v>L</v>
      </c>
      <c r="G43" s="68" t="s">
        <v>122</v>
      </c>
      <c r="H43" s="67">
        <f>D43</f>
        <v>0</v>
      </c>
      <c r="I43" s="66" t="s">
        <v>51</v>
      </c>
      <c r="J43" s="118" t="str">
        <f>IF(H43&lt;11,"L",IF(H43&lt;=61,"",IF(H43&gt;61,"H")))</f>
        <v>L</v>
      </c>
      <c r="K43" s="64" t="s">
        <v>122</v>
      </c>
    </row>
    <row r="44" spans="1:11">
      <c r="A44" s="119" t="s">
        <v>162</v>
      </c>
      <c r="B44" s="120"/>
      <c r="C44" s="62"/>
      <c r="D44" s="121"/>
      <c r="E44" s="122" t="s">
        <v>51</v>
      </c>
      <c r="F44" s="123" t="str">
        <f>IF(D44&lt;30,"L",IF(D44&lt;=120,"",IF(D44&gt;120,"H")))</f>
        <v>L</v>
      </c>
      <c r="G44" s="124" t="s">
        <v>163</v>
      </c>
      <c r="H44" s="121">
        <f>D44</f>
        <v>0</v>
      </c>
      <c r="I44" s="122" t="s">
        <v>51</v>
      </c>
      <c r="J44" s="123" t="str">
        <f>IF(H44&lt;30,"L",IF(H44&lt;=120,"",IF(H44&gt;120,"H")))</f>
        <v>L</v>
      </c>
      <c r="K44" s="125" t="s">
        <v>163</v>
      </c>
    </row>
    <row r="45" spans="1:11">
      <c r="A45" s="119" t="s">
        <v>618</v>
      </c>
      <c r="B45" s="63"/>
      <c r="C45" s="108"/>
      <c r="D45" s="60"/>
      <c r="E45" s="59" t="s">
        <v>31</v>
      </c>
      <c r="F45" s="58" t="str">
        <f>IF(D45&lt;4.5,"L",IF(D45&lt;=6.5,"",IF(D45&gt;6.5,"H")))</f>
        <v>L</v>
      </c>
      <c r="G45" s="61" t="s">
        <v>619</v>
      </c>
      <c r="H45" s="60">
        <f>(D45-2.152)/0.09148</f>
        <v>-23.524267599475294</v>
      </c>
      <c r="I45" s="59" t="s">
        <v>620</v>
      </c>
      <c r="J45" s="58" t="str">
        <f>IF(H45&lt;25.67,"L",IF(H45&lt;=47.53,"",IF(H45&gt;47.53,"H")))</f>
        <v>L</v>
      </c>
      <c r="K45" s="125" t="s">
        <v>621</v>
      </c>
    </row>
    <row r="46" spans="1:11" ht="15" thickBot="1">
      <c r="A46" s="226" t="s">
        <v>12</v>
      </c>
      <c r="B46" s="227"/>
      <c r="C46" s="227"/>
      <c r="D46" s="227"/>
      <c r="E46" s="227"/>
      <c r="F46" s="227"/>
      <c r="G46" s="227"/>
      <c r="H46" s="227"/>
      <c r="I46" s="227"/>
      <c r="J46" s="227"/>
      <c r="K46" s="228"/>
    </row>
    <row r="47" spans="1:11">
      <c r="A47" s="13" t="s">
        <v>13</v>
      </c>
      <c r="C47" s="229"/>
      <c r="D47" s="229"/>
      <c r="E47" s="229"/>
      <c r="F47" s="229"/>
      <c r="G47" s="229"/>
      <c r="H47" s="229"/>
      <c r="I47" s="229"/>
      <c r="J47" s="229"/>
      <c r="K47" s="229"/>
    </row>
    <row r="48" spans="1:11" ht="8.4" customHeight="1"/>
    <row r="49" spans="1:11">
      <c r="A49" s="14" t="s">
        <v>14</v>
      </c>
      <c r="E49" s="15" t="s">
        <v>16</v>
      </c>
      <c r="I49" s="15" t="s">
        <v>17</v>
      </c>
    </row>
    <row r="50" spans="1:11">
      <c r="I50" s="31"/>
    </row>
    <row r="51" spans="1:11">
      <c r="A51" s="218" t="s">
        <v>25</v>
      </c>
      <c r="B51" s="218"/>
      <c r="C51" s="218"/>
      <c r="D51" s="218"/>
      <c r="E51" s="218" t="s">
        <v>171</v>
      </c>
      <c r="F51" s="218"/>
      <c r="G51" s="218"/>
      <c r="H51" s="218"/>
      <c r="I51" s="219" t="s">
        <v>120</v>
      </c>
      <c r="J51" s="219"/>
      <c r="K51" s="219"/>
    </row>
    <row r="52" spans="1:11">
      <c r="A52" s="230" t="s">
        <v>15</v>
      </c>
      <c r="B52" s="230"/>
      <c r="C52" s="230"/>
      <c r="D52" s="230"/>
      <c r="E52" s="231" t="s">
        <v>172</v>
      </c>
      <c r="F52" s="231"/>
      <c r="G52" s="231"/>
      <c r="H52" s="231"/>
      <c r="I52" s="231" t="s">
        <v>113</v>
      </c>
      <c r="J52" s="231"/>
      <c r="K52" s="231"/>
    </row>
    <row r="53" spans="1:11">
      <c r="A53" s="231" t="str">
        <f>IF(A51=A60,"Lic. No. 0091946",IF(A51=A61,"Lic. No. 0068902",IF(A51=A62,"Lic. No. 0081395",IF(A51=A63,"Lic. No. 0054465",IF(A51=A64,"Lic. No. 0060939")))))</f>
        <v>Lic. No. 0068902</v>
      </c>
      <c r="B53" s="231"/>
      <c r="C53" s="231"/>
      <c r="D53" s="231"/>
      <c r="E53" s="231" t="s">
        <v>173</v>
      </c>
      <c r="F53" s="231"/>
      <c r="G53" s="231"/>
      <c r="H53" s="231"/>
      <c r="I53" s="231" t="s">
        <v>121</v>
      </c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60" spans="1:11">
      <c r="A60" s="33" t="s">
        <v>616</v>
      </c>
      <c r="B60" s="33" t="s">
        <v>617</v>
      </c>
    </row>
    <row r="61" spans="1:11">
      <c r="A61" s="34" t="s">
        <v>25</v>
      </c>
      <c r="B61" s="35" t="s">
        <v>26</v>
      </c>
    </row>
    <row r="62" spans="1:11">
      <c r="A62" s="34" t="s">
        <v>22</v>
      </c>
      <c r="B62" s="35" t="s">
        <v>23</v>
      </c>
    </row>
    <row r="63" spans="1:11">
      <c r="A63" t="s">
        <v>614</v>
      </c>
      <c r="B63" t="s">
        <v>615</v>
      </c>
    </row>
    <row r="64" spans="1:11">
      <c r="A64" t="s">
        <v>160</v>
      </c>
      <c r="B64" t="s">
        <v>161</v>
      </c>
    </row>
  </sheetData>
  <mergeCells count="58">
    <mergeCell ref="A52:D52"/>
    <mergeCell ref="E52:H52"/>
    <mergeCell ref="I52:K52"/>
    <mergeCell ref="A53:D53"/>
    <mergeCell ref="E53:H53"/>
    <mergeCell ref="I53:K53"/>
    <mergeCell ref="A51:D51"/>
    <mergeCell ref="E51:H51"/>
    <mergeCell ref="I51:K51"/>
    <mergeCell ref="B31:C31"/>
    <mergeCell ref="B32:C32"/>
    <mergeCell ref="B33:C33"/>
    <mergeCell ref="A35:C35"/>
    <mergeCell ref="A36:C36"/>
    <mergeCell ref="A38:C38"/>
    <mergeCell ref="A39:C39"/>
    <mergeCell ref="A41:B41"/>
    <mergeCell ref="A42:C42"/>
    <mergeCell ref="A46:K46"/>
    <mergeCell ref="C47:K47"/>
    <mergeCell ref="A23:K23"/>
    <mergeCell ref="A24:C25"/>
    <mergeCell ref="D24:E24"/>
    <mergeCell ref="F24:F25"/>
    <mergeCell ref="G24:G25"/>
    <mergeCell ref="H24:I24"/>
    <mergeCell ref="J24:J25"/>
    <mergeCell ref="K24:K25"/>
    <mergeCell ref="D25:E25"/>
    <mergeCell ref="H25:I25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20:C20"/>
    <mergeCell ref="D20:E20"/>
    <mergeCell ref="F20:G20"/>
    <mergeCell ref="H20:I20"/>
    <mergeCell ref="J20:K20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6">
    <cfRule type="containsText" dxfId="352" priority="129" operator="containsText" text="L">
      <formula>NOT(ISERROR(SEARCH("L",F26)))</formula>
    </cfRule>
    <cfRule type="containsText" dxfId="351" priority="130" operator="containsText" text="H">
      <formula>NOT(ISERROR(SEARCH("H",F26)))</formula>
    </cfRule>
  </conditionalFormatting>
  <conditionalFormatting sqref="F26:F28">
    <cfRule type="containsText" dxfId="350" priority="38" operator="containsText" text="H">
      <formula>NOT(ISERROR(SEARCH("H",F26)))</formula>
    </cfRule>
  </conditionalFormatting>
  <conditionalFormatting sqref="F27">
    <cfRule type="containsText" dxfId="349" priority="36" operator="containsText" text="H">
      <formula>NOT(ISERROR(SEARCH("H",F27)))</formula>
    </cfRule>
    <cfRule type="containsText" dxfId="348" priority="37" operator="containsText" text="L">
      <formula>NOT(ISERROR(SEARCH("L",F27)))</formula>
    </cfRule>
  </conditionalFormatting>
  <conditionalFormatting sqref="F28">
    <cfRule type="containsText" dxfId="347" priority="67" operator="containsText" text="L">
      <formula>NOT(ISERROR(SEARCH("L",F28)))</formula>
    </cfRule>
  </conditionalFormatting>
  <conditionalFormatting sqref="F28:F29">
    <cfRule type="containsText" dxfId="346" priority="68" operator="containsText" text="H">
      <formula>NOT(ISERROR(SEARCH("H",F28)))</formula>
    </cfRule>
  </conditionalFormatting>
  <conditionalFormatting sqref="F29">
    <cfRule type="containsText" dxfId="345" priority="71" operator="containsText" text="H">
      <formula>NOT(ISERROR(SEARCH("H",F29)))</formula>
    </cfRule>
    <cfRule type="containsText" dxfId="344" priority="70" operator="containsText" text="L">
      <formula>NOT(ISERROR(SEARCH("L",F29)))</formula>
    </cfRule>
  </conditionalFormatting>
  <conditionalFormatting sqref="F30">
    <cfRule type="containsText" dxfId="343" priority="63" operator="containsText" text="H">
      <formula>NOT(ISERROR(SEARCH("H",F30)))</formula>
    </cfRule>
    <cfRule type="containsText" dxfId="342" priority="62" operator="containsText" text="L">
      <formula>NOT(ISERROR(SEARCH("L",F30)))</formula>
    </cfRule>
    <cfRule type="containsText" dxfId="341" priority="61" operator="containsText" text="H">
      <formula>NOT(ISERROR(SEARCH("H",F30)))</formula>
    </cfRule>
    <cfRule type="containsText" dxfId="340" priority="60" operator="containsText" text="L">
      <formula>NOT(ISERROR(SEARCH("L",F30)))</formula>
    </cfRule>
  </conditionalFormatting>
  <conditionalFormatting sqref="F30:F31">
    <cfRule type="containsText" dxfId="339" priority="59" operator="containsText" text="H">
      <formula>NOT(ISERROR(SEARCH("H",F30)))</formula>
    </cfRule>
  </conditionalFormatting>
  <conditionalFormatting sqref="F31">
    <cfRule type="containsText" dxfId="338" priority="57" operator="containsText" text="H">
      <formula>NOT(ISERROR(SEARCH("H",F31)))</formula>
    </cfRule>
    <cfRule type="containsText" dxfId="337" priority="58" operator="containsText" text="L">
      <formula>NOT(ISERROR(SEARCH("L",F31)))</formula>
    </cfRule>
    <cfRule type="containsText" dxfId="336" priority="56" operator="containsText" text="L">
      <formula>NOT(ISERROR(SEARCH("L",F31)))</formula>
    </cfRule>
  </conditionalFormatting>
  <conditionalFormatting sqref="F31:F34">
    <cfRule type="containsText" dxfId="335" priority="48" operator="containsText" text="H">
      <formula>NOT(ISERROR(SEARCH("H",F31)))</formula>
    </cfRule>
  </conditionalFormatting>
  <conditionalFormatting sqref="F32:F33">
    <cfRule type="containsText" dxfId="334" priority="47" operator="containsText" text="L">
      <formula>NOT(ISERROR(SEARCH("L",F32)))</formula>
    </cfRule>
    <cfRule type="containsText" dxfId="333" priority="46" operator="containsText" text="H">
      <formula>NOT(ISERROR(SEARCH("H",F32)))</formula>
    </cfRule>
  </conditionalFormatting>
  <conditionalFormatting sqref="F34">
    <cfRule type="containsText" dxfId="332" priority="54" operator="containsText" text="L">
      <formula>NOT(ISERROR(SEARCH("L",F34)))</formula>
    </cfRule>
    <cfRule type="containsText" dxfId="331" priority="53" operator="containsText" text="H">
      <formula>NOT(ISERROR(SEARCH("H",F34)))</formula>
    </cfRule>
    <cfRule type="containsText" dxfId="330" priority="52" operator="containsText" text="L">
      <formula>NOT(ISERROR(SEARCH("L",F34)))</formula>
    </cfRule>
  </conditionalFormatting>
  <conditionalFormatting sqref="F34:F39">
    <cfRule type="containsText" dxfId="329" priority="55" operator="containsText" text="H">
      <formula>NOT(ISERROR(SEARCH("H",F34)))</formula>
    </cfRule>
  </conditionalFormatting>
  <conditionalFormatting sqref="F35:F39 F41">
    <cfRule type="containsText" dxfId="328" priority="64" operator="containsText" text="L">
      <formula>NOT(ISERROR(SEARCH("L",F35)))</formula>
    </cfRule>
    <cfRule type="containsText" dxfId="327" priority="65" operator="containsText" text="H">
      <formula>NOT(ISERROR(SEARCH("H",F35)))</formula>
    </cfRule>
  </conditionalFormatting>
  <conditionalFormatting sqref="F40">
    <cfRule type="containsText" dxfId="326" priority="50" operator="containsText" text="L">
      <formula>NOT(ISERROR(SEARCH("L",F40)))</formula>
    </cfRule>
    <cfRule type="containsText" dxfId="325" priority="49" operator="containsText" text="H">
      <formula>NOT(ISERROR(SEARCH("H",F40)))</formula>
    </cfRule>
  </conditionalFormatting>
  <conditionalFormatting sqref="F40:F41">
    <cfRule type="containsText" dxfId="324" priority="51" operator="containsText" text="H">
      <formula>NOT(ISERROR(SEARCH("H",F40)))</formula>
    </cfRule>
  </conditionalFormatting>
  <conditionalFormatting sqref="F42">
    <cfRule type="containsText" dxfId="323" priority="42" operator="containsText" text="L">
      <formula>NOT(ISERROR(SEARCH("L",F42)))</formula>
    </cfRule>
    <cfRule type="containsText" dxfId="322" priority="41" operator="containsText" text="H">
      <formula>NOT(ISERROR(SEARCH("H",F42)))</formula>
    </cfRule>
    <cfRule type="containsText" dxfId="321" priority="40" operator="containsText" text="L">
      <formula>NOT(ISERROR(SEARCH("L",F42)))</formula>
    </cfRule>
    <cfRule type="containsText" dxfId="320" priority="39" operator="containsText" text="H">
      <formula>NOT(ISERROR(SEARCH("H",F42)))</formula>
    </cfRule>
  </conditionalFormatting>
  <conditionalFormatting sqref="F42:F44">
    <cfRule type="containsText" dxfId="319" priority="43" operator="containsText" text="H">
      <formula>NOT(ISERROR(SEARCH("H",F42)))</formula>
    </cfRule>
  </conditionalFormatting>
  <conditionalFormatting sqref="F43:F44">
    <cfRule type="containsText" dxfId="318" priority="45" operator="containsText" text="H">
      <formula>NOT(ISERROR(SEARCH("H",F43)))</formula>
    </cfRule>
    <cfRule type="containsText" dxfId="317" priority="44" operator="containsText" text="L">
      <formula>NOT(ISERROR(SEARCH("L",F43)))</formula>
    </cfRule>
  </conditionalFormatting>
  <conditionalFormatting sqref="F45">
    <cfRule type="containsText" dxfId="316" priority="6" operator="containsText" text="H">
      <formula>NOT(ISERROR(SEARCH("H",F45)))</formula>
    </cfRule>
    <cfRule type="containsText" dxfId="315" priority="5" operator="containsText" text="L">
      <formula>NOT(ISERROR(SEARCH("L",F45)))</formula>
    </cfRule>
    <cfRule type="containsText" dxfId="314" priority="4" operator="containsText" text="H">
      <formula>NOT(ISERROR(SEARCH("H",F45)))</formula>
    </cfRule>
  </conditionalFormatting>
  <conditionalFormatting sqref="J27">
    <cfRule type="containsText" dxfId="313" priority="8" operator="containsText" text="L">
      <formula>NOT(ISERROR(SEARCH("L",J27)))</formula>
    </cfRule>
    <cfRule type="containsText" dxfId="312" priority="9" operator="containsText" text="H">
      <formula>NOT(ISERROR(SEARCH("H",J27)))</formula>
    </cfRule>
  </conditionalFormatting>
  <conditionalFormatting sqref="J27:J29">
    <cfRule type="containsText" dxfId="311" priority="35" operator="containsText" text="H">
      <formula>NOT(ISERROR(SEARCH("H",J27)))</formula>
    </cfRule>
  </conditionalFormatting>
  <conditionalFormatting sqref="J28:J33 J35:J41">
    <cfRule type="containsText" dxfId="310" priority="30" operator="containsText" text="L">
      <formula>NOT(ISERROR(SEARCH("L",J28)))</formula>
    </cfRule>
  </conditionalFormatting>
  <conditionalFormatting sqref="J28:J41">
    <cfRule type="containsText" dxfId="309" priority="21" operator="containsText" text="H">
      <formula>NOT(ISERROR(SEARCH("H",J28)))</formula>
    </cfRule>
  </conditionalFormatting>
  <conditionalFormatting sqref="J32:J33 J35:J41">
    <cfRule type="containsText" dxfId="308" priority="31" operator="containsText" text="H">
      <formula>NOT(ISERROR(SEARCH("H",J32)))</formula>
    </cfRule>
  </conditionalFormatting>
  <conditionalFormatting sqref="J34">
    <cfRule type="containsText" dxfId="307" priority="18" operator="containsText" text="L">
      <formula>NOT(ISERROR(SEARCH("L",J34)))</formula>
    </cfRule>
    <cfRule type="containsText" dxfId="306" priority="18" operator="containsText" text="H">
      <formula>NOT(ISERROR(SEARCH("H",J34)))</formula>
    </cfRule>
  </conditionalFormatting>
  <conditionalFormatting sqref="J42">
    <cfRule type="containsText" dxfId="305" priority="13" operator="containsText" text="L">
      <formula>NOT(ISERROR(SEARCH("L",J42)))</formula>
    </cfRule>
    <cfRule type="containsText" dxfId="304" priority="13" operator="containsText" text="H">
      <formula>NOT(ISERROR(SEARCH("H",J42)))</formula>
    </cfRule>
    <cfRule type="containsText" dxfId="303" priority="13" operator="containsText" text="L">
      <formula>NOT(ISERROR(SEARCH("L",J42)))</formula>
    </cfRule>
  </conditionalFormatting>
  <conditionalFormatting sqref="J42:J44">
    <cfRule type="containsText" dxfId="302" priority="14" operator="containsText" text="H">
      <formula>NOT(ISERROR(SEARCH("H",J42)))</formula>
    </cfRule>
  </conditionalFormatting>
  <conditionalFormatting sqref="J43:J44">
    <cfRule type="containsText" dxfId="301" priority="16" operator="containsText" text="H">
      <formula>NOT(ISERROR(SEARCH("H",J43)))</formula>
    </cfRule>
    <cfRule type="containsText" dxfId="300" priority="15" operator="containsText" text="L">
      <formula>NOT(ISERROR(SEARCH("L",J43)))</formula>
    </cfRule>
  </conditionalFormatting>
  <conditionalFormatting sqref="J45">
    <cfRule type="containsText" dxfId="299" priority="1" operator="containsText" text="H">
      <formula>NOT(ISERROR(SEARCH("H",J45)))</formula>
    </cfRule>
    <cfRule type="containsText" dxfId="298" priority="3" operator="containsText" text="H">
      <formula>NOT(ISERROR(SEARCH("H",J45)))</formula>
    </cfRule>
    <cfRule type="containsText" dxfId="297" priority="2" operator="containsText" text="L">
      <formula>NOT(ISERROR(SEARCH("L",J45)))</formula>
    </cfRule>
  </conditionalFormatting>
  <dataValidations disablePrompts="1" count="1">
    <dataValidation type="list" allowBlank="1" showInputMessage="1" showErrorMessage="1" sqref="A51:D51" xr:uid="{5F11B54E-0CAA-471B-BEBB-A3E472DF6F02}">
      <formula1>$A$60:$A$64</formula1>
    </dataValidation>
  </dataValidations>
  <printOptions horizontalCentered="1"/>
  <pageMargins left="0.23622047244094499" right="0.23622047244094499" top="0.74803149606299202" bottom="0.74803149606299202" header="0.31496062992126" footer="0.31496062992126"/>
  <pageSetup paperSize="9" scale="81" orientation="portrait" horizontalDpi="360" verticalDpi="360" r:id="rId1"/>
  <headerFooter>
    <oddFooter>&amp;RDOH-CHD7-CL-Form-9 Rev. 0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92EBE-4C75-4E3E-B151-E9BBAFE2345E}">
  <sheetPr>
    <pageSetUpPr fitToPage="1"/>
  </sheetPr>
  <dimension ref="A1:K64"/>
  <sheetViews>
    <sheetView view="pageLayout" topLeftCell="A17" zoomScaleNormal="100" workbookViewId="0">
      <selection activeCell="M36" sqref="M36"/>
    </sheetView>
  </sheetViews>
  <sheetFormatPr defaultRowHeight="14.4"/>
  <cols>
    <col min="1" max="2" width="9" customWidth="1"/>
    <col min="3" max="3" width="5.6640625" customWidth="1"/>
    <col min="4" max="4" width="12" customWidth="1"/>
    <col min="5" max="5" width="6.33203125" customWidth="1"/>
    <col min="6" max="6" width="6.5546875" customWidth="1"/>
    <col min="7" max="7" width="13.44140625" customWidth="1"/>
    <col min="8" max="8" width="12" customWidth="1"/>
    <col min="9" max="9" width="7.21875" customWidth="1"/>
    <col min="10" max="10" width="6.5546875" customWidth="1"/>
    <col min="11" max="11" width="13.33203125" customWidth="1"/>
    <col min="12" max="12" width="9.6640625" bestFit="1" customWidth="1"/>
    <col min="14" max="14" width="9.6640625" bestFit="1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4.2" customHeight="1"/>
    <row r="9" spans="1:11" ht="14.1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2" customHeight="1" thickBot="1"/>
    <row r="11" spans="1:1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>
        <f>A12</f>
        <v>0</v>
      </c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4.9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4.9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27</v>
      </c>
      <c r="G18" s="181"/>
      <c r="H18" s="179"/>
      <c r="I18" s="180"/>
      <c r="J18" s="180"/>
      <c r="K18" s="181"/>
    </row>
    <row r="19" spans="1:1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0.54166666666666663</v>
      </c>
      <c r="I20" s="185"/>
      <c r="J20" s="199"/>
      <c r="K20" s="200"/>
    </row>
    <row r="21" spans="1:11">
      <c r="A21" s="192" t="s">
        <v>33</v>
      </c>
      <c r="B21" s="193"/>
      <c r="C21" s="193"/>
      <c r="D21" s="193"/>
      <c r="E21" s="193"/>
      <c r="F21" s="193"/>
      <c r="G21" s="193"/>
      <c r="H21" s="193"/>
      <c r="I21" s="193"/>
      <c r="J21" s="193"/>
      <c r="K21" s="194"/>
    </row>
    <row r="22" spans="1:11" ht="15" thickBot="1">
      <c r="A22" s="195"/>
      <c r="B22" s="196"/>
      <c r="C22" s="196"/>
      <c r="D22" s="196"/>
      <c r="E22" s="196"/>
      <c r="F22" s="196"/>
      <c r="G22" s="196"/>
      <c r="H22" s="196"/>
      <c r="I22" s="196"/>
      <c r="J22" s="196"/>
      <c r="K22" s="197"/>
    </row>
    <row r="23" spans="1:11" ht="11.25" customHeight="1" thickBot="1">
      <c r="A23" s="201"/>
      <c r="B23" s="202"/>
      <c r="C23" s="202"/>
      <c r="D23" s="202"/>
      <c r="E23" s="202"/>
      <c r="F23" s="202"/>
      <c r="G23" s="202"/>
      <c r="H23" s="202"/>
      <c r="I23" s="202"/>
      <c r="J23" s="202"/>
      <c r="K23" s="203"/>
    </row>
    <row r="24" spans="1:11" s="107" customFormat="1" ht="29.4" customHeight="1" thickBot="1">
      <c r="A24" s="204" t="s">
        <v>18</v>
      </c>
      <c r="B24" s="205"/>
      <c r="C24" s="206"/>
      <c r="D24" s="210" t="s">
        <v>9</v>
      </c>
      <c r="E24" s="211"/>
      <c r="F24" s="212" t="s">
        <v>24</v>
      </c>
      <c r="G24" s="214" t="s">
        <v>11</v>
      </c>
      <c r="H24" s="210" t="s">
        <v>9</v>
      </c>
      <c r="I24" s="211"/>
      <c r="J24" s="212" t="s">
        <v>24</v>
      </c>
      <c r="K24" s="214" t="s">
        <v>11</v>
      </c>
    </row>
    <row r="25" spans="1:11" ht="15" thickBot="1">
      <c r="A25" s="207"/>
      <c r="B25" s="208"/>
      <c r="C25" s="209"/>
      <c r="D25" s="216" t="s">
        <v>146</v>
      </c>
      <c r="E25" s="217"/>
      <c r="F25" s="213"/>
      <c r="G25" s="215"/>
      <c r="H25" s="216" t="s">
        <v>145</v>
      </c>
      <c r="I25" s="217"/>
      <c r="J25" s="213"/>
      <c r="K25" s="215"/>
    </row>
    <row r="26" spans="1:11" ht="7.2" customHeight="1">
      <c r="A26" s="16"/>
      <c r="C26" s="106"/>
      <c r="F26" s="36"/>
      <c r="G26" s="105"/>
      <c r="J26" s="9"/>
      <c r="K26" s="5"/>
    </row>
    <row r="27" spans="1:11">
      <c r="A27" s="104" t="s">
        <v>34</v>
      </c>
      <c r="B27" s="103"/>
      <c r="C27" s="93"/>
      <c r="D27" s="91">
        <f>H27/0.0554915854738707</f>
        <v>0</v>
      </c>
      <c r="E27" s="90" t="s">
        <v>98</v>
      </c>
      <c r="F27" s="89" t="str">
        <f>IF(D27&lt;60,"L",IF(D27&lt;=100,"",IF(D27&gt;100,"H")))</f>
        <v>L</v>
      </c>
      <c r="G27" s="102" t="s">
        <v>144</v>
      </c>
      <c r="H27" s="91"/>
      <c r="I27" s="90" t="s">
        <v>35</v>
      </c>
      <c r="J27" s="89" t="str">
        <f>IF(H27&lt;3.5,"L",IF(H27&lt;=5.5,"",IF(H27&gt;5.5,"H")))</f>
        <v>L</v>
      </c>
      <c r="K27" s="101" t="s">
        <v>36</v>
      </c>
    </row>
    <row r="28" spans="1:11">
      <c r="A28" s="70" t="s">
        <v>37</v>
      </c>
      <c r="B28" s="79"/>
      <c r="C28" s="78"/>
      <c r="D28" s="67">
        <f>H28/0.0554915854738707</f>
        <v>0</v>
      </c>
      <c r="E28" s="66" t="s">
        <v>98</v>
      </c>
      <c r="F28" s="75" t="str">
        <f>IF(D28&lt;200,"",IF(D28&gt;=200,"H"))</f>
        <v/>
      </c>
      <c r="G28" s="68" t="s">
        <v>143</v>
      </c>
      <c r="H28" s="67"/>
      <c r="I28" s="66" t="s">
        <v>35</v>
      </c>
      <c r="J28" s="75" t="str">
        <f>IF(H28&lt;11.1,"",IF(H28&gt;=11.1,"H"))</f>
        <v/>
      </c>
      <c r="K28" s="77" t="s">
        <v>142</v>
      </c>
    </row>
    <row r="29" spans="1:11">
      <c r="A29" s="100" t="s">
        <v>38</v>
      </c>
      <c r="B29" s="46"/>
      <c r="C29" s="99"/>
      <c r="D29" s="97"/>
      <c r="E29" s="52"/>
      <c r="F29" s="96"/>
      <c r="G29" s="98"/>
      <c r="H29" s="97"/>
      <c r="I29" s="52"/>
      <c r="J29" s="96"/>
      <c r="K29" s="95"/>
    </row>
    <row r="30" spans="1:11">
      <c r="A30" s="18"/>
      <c r="B30" s="94" t="s">
        <v>39</v>
      </c>
      <c r="C30" s="93"/>
      <c r="D30" s="91">
        <f>H30/0.0259997360432889</f>
        <v>0</v>
      </c>
      <c r="E30" s="90" t="s">
        <v>98</v>
      </c>
      <c r="F30" s="89" t="str">
        <f>IF(D30&lt;0,"L",IF(D30&lt;=200.77,"",IF(D30&gt;200.77,"H")))</f>
        <v/>
      </c>
      <c r="G30" s="92" t="s">
        <v>141</v>
      </c>
      <c r="H30" s="91"/>
      <c r="I30" s="90" t="s">
        <v>35</v>
      </c>
      <c r="J30" s="89" t="str">
        <f>IF(H30&lt;0,"L",IF(H30&lt;=5.2,"",IF(H30&gt;5.2,"H")))</f>
        <v/>
      </c>
      <c r="K30" s="88" t="s">
        <v>117</v>
      </c>
    </row>
    <row r="31" spans="1:11">
      <c r="A31" s="18"/>
      <c r="B31" s="220" t="s">
        <v>40</v>
      </c>
      <c r="C31" s="221"/>
      <c r="D31" s="67">
        <f>H31/0.0259997360432889</f>
        <v>0</v>
      </c>
      <c r="E31" s="66" t="s">
        <v>98</v>
      </c>
      <c r="F31" s="65" t="str">
        <f>IF(D31&lt;34.6,"L",IF(D31&gt;=34.6,""))</f>
        <v>L</v>
      </c>
      <c r="G31" s="68" t="s">
        <v>140</v>
      </c>
      <c r="H31" s="67"/>
      <c r="I31" s="66" t="s">
        <v>35</v>
      </c>
      <c r="J31" s="65" t="str">
        <f>IF(H31&lt;0.9,"L",IF(H31&gt;=0.9,""))</f>
        <v>L</v>
      </c>
      <c r="K31" s="77" t="s">
        <v>118</v>
      </c>
    </row>
    <row r="32" spans="1:11">
      <c r="A32" s="16"/>
      <c r="B32" s="220" t="s">
        <v>41</v>
      </c>
      <c r="C32" s="221"/>
      <c r="D32" s="67">
        <f>H32/0.0259997360432889</f>
        <v>0</v>
      </c>
      <c r="E32" s="66" t="s">
        <v>98</v>
      </c>
      <c r="F32" s="71" t="str">
        <f>IF(D32&lt;0,"L",IF(D32&lt;=99.6,"",IF(D32&gt;99.6,"H")))</f>
        <v/>
      </c>
      <c r="G32" s="73" t="s">
        <v>139</v>
      </c>
      <c r="H32" s="67"/>
      <c r="I32" s="66" t="s">
        <v>35</v>
      </c>
      <c r="J32" s="71" t="str">
        <f>IF(H32&lt;0,"L",IF(H32&lt;=2.59,"",IF(H32&gt;2.59,"H")))</f>
        <v/>
      </c>
      <c r="K32" s="87" t="s">
        <v>42</v>
      </c>
    </row>
    <row r="33" spans="1:11">
      <c r="A33" s="18"/>
      <c r="B33" s="220" t="s">
        <v>43</v>
      </c>
      <c r="C33" s="221"/>
      <c r="D33" s="67">
        <f>H33/0.0259997360432889</f>
        <v>0</v>
      </c>
      <c r="E33" s="66" t="s">
        <v>98</v>
      </c>
      <c r="F33" s="75" t="str">
        <f>IF(D33&lt;1.9,"L",IF(D33&lt;=30.76,"",IF(D33&gt;30.76,"H")))</f>
        <v>L</v>
      </c>
      <c r="G33" s="68" t="s">
        <v>138</v>
      </c>
      <c r="H33" s="67"/>
      <c r="I33" s="66" t="s">
        <v>35</v>
      </c>
      <c r="J33" s="75" t="str">
        <f>IF(H33&lt;0.05,"L",IF(H33&lt;=0.8,"",IF(H33&gt;0.8,"H")))</f>
        <v>L</v>
      </c>
      <c r="K33" s="77" t="s">
        <v>44</v>
      </c>
    </row>
    <row r="34" spans="1:11">
      <c r="A34" s="18"/>
      <c r="B34" s="86" t="s">
        <v>45</v>
      </c>
      <c r="C34" s="78"/>
      <c r="D34" s="84">
        <f>H34/0.0112997464447139</f>
        <v>0</v>
      </c>
      <c r="E34" s="83" t="s">
        <v>98</v>
      </c>
      <c r="F34" s="82" t="str">
        <f>IF(D34&lt;0,"L",IF(D34&lt;=203.54,"",IF(D34&gt;203.54,"H")))</f>
        <v/>
      </c>
      <c r="G34" s="85" t="s">
        <v>137</v>
      </c>
      <c r="H34" s="84"/>
      <c r="I34" s="83" t="s">
        <v>35</v>
      </c>
      <c r="J34" s="82" t="str">
        <f>IF(H34&lt;0,"L",IF(H34&lt;=2.3,"",IF(H34&gt;2.3,"H")))</f>
        <v/>
      </c>
      <c r="K34" s="81" t="s">
        <v>136</v>
      </c>
    </row>
    <row r="35" spans="1:11">
      <c r="A35" s="222" t="s">
        <v>46</v>
      </c>
      <c r="B35" s="220"/>
      <c r="C35" s="221"/>
      <c r="D35" s="67">
        <f>H35/88.021978021978</f>
        <v>0</v>
      </c>
      <c r="E35" s="72" t="s">
        <v>98</v>
      </c>
      <c r="F35" s="80" t="str">
        <f>IF(D35&lt;0.8,"L",IF(D35&lt;=1.3,"",IF(D35&gt;1.3,"H")))</f>
        <v>L</v>
      </c>
      <c r="G35" s="68" t="s">
        <v>135</v>
      </c>
      <c r="H35" s="67"/>
      <c r="I35" s="72" t="s">
        <v>47</v>
      </c>
      <c r="J35" s="80" t="str">
        <f>IF(H35&lt;70,"L",IF(H35&lt;=115,"",IF(H35&gt;115,"H")))</f>
        <v>L</v>
      </c>
      <c r="K35" s="77" t="s">
        <v>134</v>
      </c>
    </row>
    <row r="36" spans="1:11">
      <c r="A36" s="222" t="s">
        <v>48</v>
      </c>
      <c r="B36" s="220"/>
      <c r="C36" s="221"/>
      <c r="D36" s="67">
        <f>H36/0.165978530140379</f>
        <v>0</v>
      </c>
      <c r="E36" s="66" t="s">
        <v>98</v>
      </c>
      <c r="F36" s="65" t="str">
        <f>IF(D36&lt;16.87,"L",IF(D36&lt;=43.37,"",IF(D36&gt;43.37,"H")))</f>
        <v>L</v>
      </c>
      <c r="G36" s="68" t="s">
        <v>133</v>
      </c>
      <c r="H36" s="67"/>
      <c r="I36" s="66" t="s">
        <v>35</v>
      </c>
      <c r="J36" s="65" t="str">
        <f>IF(H36&lt;2.8,"L",IF(H36&lt;=7.2,"",IF(H36&gt;7.2,"H")))</f>
        <v>L</v>
      </c>
      <c r="K36" s="77" t="s">
        <v>132</v>
      </c>
    </row>
    <row r="37" spans="1:11">
      <c r="A37" s="70" t="s">
        <v>49</v>
      </c>
      <c r="B37" s="79"/>
      <c r="C37" s="78"/>
      <c r="D37" s="67">
        <f>H37/59.4582723279648</f>
        <v>0</v>
      </c>
      <c r="E37" s="72" t="s">
        <v>98</v>
      </c>
      <c r="F37" s="75" t="str">
        <f>IF(D37&lt;3.6,"L",IF(D37&lt;=8.2,"",IF(D37&gt;8.2,"H")))</f>
        <v>L</v>
      </c>
      <c r="G37" s="68" t="s">
        <v>131</v>
      </c>
      <c r="H37" s="67"/>
      <c r="I37" s="72" t="s">
        <v>47</v>
      </c>
      <c r="J37" s="75" t="str">
        <f>IF(H37&lt;214,"L",IF(H37&lt;=488,"",IF(H37&gt;488,"H")))</f>
        <v>L</v>
      </c>
      <c r="K37" s="77" t="s">
        <v>130</v>
      </c>
    </row>
    <row r="38" spans="1:11">
      <c r="A38" s="222" t="s">
        <v>50</v>
      </c>
      <c r="B38" s="220"/>
      <c r="C38" s="221"/>
      <c r="D38" s="67">
        <f>H38</f>
        <v>0</v>
      </c>
      <c r="E38" s="66" t="s">
        <v>51</v>
      </c>
      <c r="F38" s="65" t="str">
        <f>IF(D38&lt;0,"L",IF(D38&lt;=45,"",IF(D38&gt;45,"H")))</f>
        <v/>
      </c>
      <c r="G38" s="68" t="s">
        <v>129</v>
      </c>
      <c r="H38" s="67"/>
      <c r="I38" s="66" t="s">
        <v>51</v>
      </c>
      <c r="J38" s="65" t="str">
        <f>IF(H38&lt;0,"L",IF(H38&lt;=45,"",IF(H38&gt;45,"H")))</f>
        <v/>
      </c>
      <c r="K38" s="76" t="s">
        <v>128</v>
      </c>
    </row>
    <row r="39" spans="1:11">
      <c r="A39" s="222" t="s">
        <v>52</v>
      </c>
      <c r="B39" s="220"/>
      <c r="C39" s="221"/>
      <c r="D39" s="67">
        <f>H39</f>
        <v>0</v>
      </c>
      <c r="E39" s="66" t="s">
        <v>51</v>
      </c>
      <c r="F39" s="65" t="str">
        <f>IF(D39&lt;0,"L",IF(D39&lt;=35,"",IF(D39&gt;35,"H")))</f>
        <v/>
      </c>
      <c r="G39" s="68" t="s">
        <v>127</v>
      </c>
      <c r="H39" s="67"/>
      <c r="I39" s="66" t="s">
        <v>51</v>
      </c>
      <c r="J39" s="65" t="str">
        <f>IF(H39&lt;0,"L",IF(H39&lt;=35,"",IF(H39&gt;35,"H")))</f>
        <v/>
      </c>
      <c r="K39" s="76" t="s">
        <v>126</v>
      </c>
    </row>
    <row r="40" spans="1:11">
      <c r="A40" s="70" t="s">
        <v>53</v>
      </c>
      <c r="B40" s="69"/>
      <c r="C40" s="74"/>
      <c r="D40" s="67">
        <f>H40/17.1</f>
        <v>0</v>
      </c>
      <c r="E40" s="72" t="s">
        <v>98</v>
      </c>
      <c r="F40" s="75" t="str">
        <f>IF(D40&lt;0.1,"L",IF(D40&lt;=1.2,"",IF(D40&gt;1.2,"H")))</f>
        <v>L</v>
      </c>
      <c r="G40" s="68" t="s">
        <v>125</v>
      </c>
      <c r="H40" s="67"/>
      <c r="I40" s="72" t="s">
        <v>47</v>
      </c>
      <c r="J40" s="75" t="str">
        <f>IF(H40&lt;2,"L",IF(H40&lt;=21,"",IF(H40&gt;21,"H")))</f>
        <v>L</v>
      </c>
      <c r="K40" s="64" t="s">
        <v>124</v>
      </c>
    </row>
    <row r="41" spans="1:11">
      <c r="A41" s="222" t="s">
        <v>54</v>
      </c>
      <c r="B41" s="220"/>
      <c r="C41" s="74"/>
      <c r="D41" s="67">
        <f>H41/17.1</f>
        <v>0</v>
      </c>
      <c r="E41" s="72" t="s">
        <v>98</v>
      </c>
      <c r="F41" s="71" t="str">
        <f>IF(D41&lt;0,"L",IF(D41&lt;=0.3,"",IF(D41&gt;0.3,"H")))</f>
        <v/>
      </c>
      <c r="G41" s="73" t="s">
        <v>123</v>
      </c>
      <c r="H41" s="67"/>
      <c r="I41" s="72" t="s">
        <v>47</v>
      </c>
      <c r="J41" s="71" t="str">
        <f>IF(H41&lt;0,"L",IF(H41&lt;=5.13,"",IF(H41&gt;5.13,"H")))</f>
        <v/>
      </c>
      <c r="K41" s="64" t="s">
        <v>56</v>
      </c>
    </row>
    <row r="42" spans="1:11">
      <c r="A42" s="223" t="s">
        <v>368</v>
      </c>
      <c r="B42" s="224"/>
      <c r="C42" s="225"/>
      <c r="D42" s="67">
        <f>H42/17.1</f>
        <v>0</v>
      </c>
      <c r="E42" s="72" t="s">
        <v>98</v>
      </c>
      <c r="F42" s="65" t="str">
        <f>IF(D42&lt;0.2,"L",IF(D42&lt;=1.2,"",IF(D42&gt;1.2,"H")))</f>
        <v>L</v>
      </c>
      <c r="G42" s="68" t="s">
        <v>369</v>
      </c>
      <c r="H42" s="67">
        <f>H40-H41</f>
        <v>0</v>
      </c>
      <c r="I42" s="72" t="s">
        <v>47</v>
      </c>
      <c r="J42" s="109" t="str">
        <f>IF(H42&lt;3.42,"L",IF(H42&lt;=20.52,"",IF(H42&gt;20.52,"H")))</f>
        <v>L</v>
      </c>
      <c r="K42" s="64" t="s">
        <v>370</v>
      </c>
    </row>
    <row r="43" spans="1:11">
      <c r="A43" s="70" t="s">
        <v>55</v>
      </c>
      <c r="B43" s="69"/>
      <c r="C43" s="117"/>
      <c r="D43" s="67">
        <f>H43</f>
        <v>0</v>
      </c>
      <c r="E43" s="66" t="s">
        <v>51</v>
      </c>
      <c r="F43" s="118" t="str">
        <f>IF(D43&lt;11,"L",IF(D43&lt;=61,"",IF(D43&gt;61,"H")))</f>
        <v>L</v>
      </c>
      <c r="G43" s="68" t="s">
        <v>122</v>
      </c>
      <c r="H43" s="67"/>
      <c r="I43" s="66" t="s">
        <v>51</v>
      </c>
      <c r="J43" s="118" t="str">
        <f>IF(H43&lt;11,"L",IF(H43&lt;=61,"",IF(H43&gt;61,"H")))</f>
        <v>L</v>
      </c>
      <c r="K43" s="64" t="s">
        <v>122</v>
      </c>
    </row>
    <row r="44" spans="1:11">
      <c r="A44" s="119" t="s">
        <v>162</v>
      </c>
      <c r="B44" s="120"/>
      <c r="C44" s="62"/>
      <c r="D44" s="121">
        <f>H44</f>
        <v>0</v>
      </c>
      <c r="E44" s="122" t="s">
        <v>51</v>
      </c>
      <c r="F44" s="123" t="str">
        <f>IF(D44&lt;30,"L",IF(D44&lt;=120,"",IF(D44&gt;120,"H")))</f>
        <v>L</v>
      </c>
      <c r="G44" s="124" t="s">
        <v>163</v>
      </c>
      <c r="H44" s="121"/>
      <c r="I44" s="122" t="s">
        <v>51</v>
      </c>
      <c r="J44" s="123" t="str">
        <f>IF(H44&lt;30,"L",IF(H44&lt;=120,"",IF(H44&gt;120,"H")))</f>
        <v>L</v>
      </c>
      <c r="K44" s="125" t="s">
        <v>163</v>
      </c>
    </row>
    <row r="45" spans="1:11">
      <c r="A45" s="119" t="s">
        <v>618</v>
      </c>
      <c r="B45" s="63"/>
      <c r="C45" s="108"/>
      <c r="D45" s="60">
        <f>(0.09148*H45)+2.152</f>
        <v>2.1520000000000001</v>
      </c>
      <c r="E45" s="59" t="s">
        <v>31</v>
      </c>
      <c r="F45" s="58" t="str">
        <f>IF(D45&lt;4.5,"L",IF(D45&lt;=6.5,"",IF(D45&gt;6.51,"H")))</f>
        <v>L</v>
      </c>
      <c r="G45" s="61" t="s">
        <v>619</v>
      </c>
      <c r="H45" s="60"/>
      <c r="I45" s="59" t="s">
        <v>620</v>
      </c>
      <c r="J45" s="58" t="str">
        <f>IF(H45&lt;25.67,"L",IF(H45&lt;=47.53,"",IF(H45&gt;47.53,"H")))</f>
        <v>L</v>
      </c>
      <c r="K45" s="125" t="s">
        <v>621</v>
      </c>
    </row>
    <row r="46" spans="1:11" ht="15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126" t="s">
        <v>13</v>
      </c>
      <c r="C47" s="229"/>
      <c r="D47" s="229"/>
      <c r="E47" s="229"/>
      <c r="F47" s="229"/>
      <c r="G47" s="229"/>
      <c r="H47" s="229"/>
      <c r="I47" s="229"/>
      <c r="J47" s="229"/>
      <c r="K47" s="229"/>
    </row>
    <row r="48" spans="1:11" ht="8.4" customHeight="1"/>
    <row r="49" spans="1:11">
      <c r="A49" s="14" t="s">
        <v>14</v>
      </c>
      <c r="E49" s="15" t="s">
        <v>16</v>
      </c>
      <c r="I49" s="15" t="s">
        <v>17</v>
      </c>
    </row>
    <row r="50" spans="1:11">
      <c r="I50" s="31"/>
    </row>
    <row r="51" spans="1:11">
      <c r="A51" s="218" t="s">
        <v>25</v>
      </c>
      <c r="B51" s="218"/>
      <c r="C51" s="218"/>
      <c r="D51" s="218"/>
      <c r="E51" s="218" t="s">
        <v>171</v>
      </c>
      <c r="F51" s="218"/>
      <c r="G51" s="218"/>
      <c r="H51" s="218"/>
      <c r="I51" s="219" t="s">
        <v>120</v>
      </c>
      <c r="J51" s="219"/>
      <c r="K51" s="219"/>
    </row>
    <row r="52" spans="1:11">
      <c r="A52" s="230" t="s">
        <v>15</v>
      </c>
      <c r="B52" s="230"/>
      <c r="C52" s="230"/>
      <c r="D52" s="230"/>
      <c r="E52" s="231" t="s">
        <v>172</v>
      </c>
      <c r="F52" s="231"/>
      <c r="G52" s="231"/>
      <c r="H52" s="231"/>
      <c r="I52" s="231" t="s">
        <v>113</v>
      </c>
      <c r="J52" s="231"/>
      <c r="K52" s="231"/>
    </row>
    <row r="53" spans="1:11">
      <c r="A53" s="231" t="str">
        <f>IF(A51=A60,"Lic. No. 0091946",IF(A51=A61,"Lic. No. 0068902",IF(A51=A62,"Lic. No. 0081395",IF(A51=A63,"Lic. No. 0054465",IF(A51=A64,"Lic. No. 0060939")))))</f>
        <v>Lic. No. 0068902</v>
      </c>
      <c r="B53" s="231"/>
      <c r="C53" s="231"/>
      <c r="D53" s="231"/>
      <c r="E53" s="231" t="s">
        <v>173</v>
      </c>
      <c r="F53" s="231"/>
      <c r="G53" s="231"/>
      <c r="H53" s="231"/>
      <c r="I53" s="231" t="s">
        <v>121</v>
      </c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60" spans="1:11">
      <c r="A60" s="33" t="s">
        <v>616</v>
      </c>
      <c r="B60" s="33" t="s">
        <v>617</v>
      </c>
    </row>
    <row r="61" spans="1:11">
      <c r="A61" s="34" t="s">
        <v>25</v>
      </c>
      <c r="B61" s="35" t="s">
        <v>26</v>
      </c>
    </row>
    <row r="62" spans="1:11">
      <c r="A62" s="34" t="s">
        <v>22</v>
      </c>
      <c r="B62" s="35" t="s">
        <v>23</v>
      </c>
    </row>
    <row r="63" spans="1:11">
      <c r="A63" t="s">
        <v>614</v>
      </c>
      <c r="B63" t="s">
        <v>615</v>
      </c>
    </row>
    <row r="64" spans="1:11">
      <c r="A64" t="s">
        <v>160</v>
      </c>
      <c r="B64" t="s">
        <v>161</v>
      </c>
    </row>
  </sheetData>
  <mergeCells count="58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A20:C20"/>
    <mergeCell ref="D20:E20"/>
    <mergeCell ref="F20:G20"/>
    <mergeCell ref="H20:I20"/>
    <mergeCell ref="J20:K20"/>
    <mergeCell ref="A21:K22"/>
    <mergeCell ref="A23:K23"/>
    <mergeCell ref="A24:C25"/>
    <mergeCell ref="D24:E24"/>
    <mergeCell ref="F24:F25"/>
    <mergeCell ref="G24:G25"/>
    <mergeCell ref="H24:I24"/>
    <mergeCell ref="J24:J25"/>
    <mergeCell ref="K24:K25"/>
    <mergeCell ref="D25:E25"/>
    <mergeCell ref="H25:I25"/>
    <mergeCell ref="B31:C31"/>
    <mergeCell ref="B32:C32"/>
    <mergeCell ref="B33:C33"/>
    <mergeCell ref="A35:C35"/>
    <mergeCell ref="A36:C36"/>
    <mergeCell ref="A38:C38"/>
    <mergeCell ref="A39:C39"/>
    <mergeCell ref="A41:B41"/>
    <mergeCell ref="A42:C42"/>
    <mergeCell ref="A46:K46"/>
    <mergeCell ref="A53:D53"/>
    <mergeCell ref="E53:H53"/>
    <mergeCell ref="I53:K53"/>
    <mergeCell ref="C47:K47"/>
    <mergeCell ref="A51:D51"/>
    <mergeCell ref="E51:H51"/>
    <mergeCell ref="I51:K51"/>
    <mergeCell ref="A52:D52"/>
    <mergeCell ref="E52:H52"/>
    <mergeCell ref="I52:K52"/>
  </mergeCells>
  <conditionalFormatting sqref="F26 F29">
    <cfRule type="containsText" dxfId="296" priority="133" operator="containsText" text="H">
      <formula>NOT(ISERROR(SEARCH("H",F26)))</formula>
    </cfRule>
  </conditionalFormatting>
  <conditionalFormatting sqref="F26:F28">
    <cfRule type="containsText" dxfId="295" priority="18" operator="containsText" text="H">
      <formula>NOT(ISERROR(SEARCH("H",F26)))</formula>
    </cfRule>
  </conditionalFormatting>
  <conditionalFormatting sqref="F27">
    <cfRule type="containsText" dxfId="294" priority="16" operator="containsText" text="H">
      <formula>NOT(ISERROR(SEARCH("H",F27)))</formula>
    </cfRule>
    <cfRule type="containsText" dxfId="293" priority="17" operator="containsText" text="L">
      <formula>NOT(ISERROR(SEARCH("L",F27)))</formula>
    </cfRule>
  </conditionalFormatting>
  <conditionalFormatting sqref="F28">
    <cfRule type="containsText" dxfId="292" priority="86" operator="containsText" text="L">
      <formula>NOT(ISERROR(SEARCH("L",F28)))</formula>
    </cfRule>
  </conditionalFormatting>
  <conditionalFormatting sqref="F28:F29">
    <cfRule type="containsText" dxfId="291" priority="87" operator="containsText" text="H">
      <formula>NOT(ISERROR(SEARCH("H",F28)))</formula>
    </cfRule>
  </conditionalFormatting>
  <conditionalFormatting sqref="F29 F26">
    <cfRule type="containsText" dxfId="290" priority="132" operator="containsText" text="L">
      <formula>NOT(ISERROR(SEARCH("L",F26)))</formula>
    </cfRule>
  </conditionalFormatting>
  <conditionalFormatting sqref="F30">
    <cfRule type="containsText" dxfId="289" priority="65" operator="containsText" text="L">
      <formula>NOT(ISERROR(SEARCH("L",F30)))</formula>
    </cfRule>
    <cfRule type="containsText" dxfId="288" priority="64" operator="containsText" text="H">
      <formula>NOT(ISERROR(SEARCH("H",F30)))</formula>
    </cfRule>
    <cfRule type="containsText" dxfId="287" priority="66" operator="containsText" text="H">
      <formula>NOT(ISERROR(SEARCH("H",F30)))</formula>
    </cfRule>
    <cfRule type="containsText" dxfId="286" priority="63" operator="containsText" text="L">
      <formula>NOT(ISERROR(SEARCH("L",F30)))</formula>
    </cfRule>
  </conditionalFormatting>
  <conditionalFormatting sqref="F30:F31">
    <cfRule type="containsText" dxfId="285" priority="62" operator="containsText" text="H">
      <formula>NOT(ISERROR(SEARCH("H",F30)))</formula>
    </cfRule>
  </conditionalFormatting>
  <conditionalFormatting sqref="F31">
    <cfRule type="containsText" dxfId="284" priority="61" operator="containsText" text="L">
      <formula>NOT(ISERROR(SEARCH("L",F31)))</formula>
    </cfRule>
    <cfRule type="containsText" dxfId="283" priority="60" operator="containsText" text="H">
      <formula>NOT(ISERROR(SEARCH("H",F31)))</formula>
    </cfRule>
    <cfRule type="containsText" dxfId="282" priority="59" operator="containsText" text="L">
      <formula>NOT(ISERROR(SEARCH("L",F31)))</formula>
    </cfRule>
  </conditionalFormatting>
  <conditionalFormatting sqref="F31:F34">
    <cfRule type="containsText" dxfId="281" priority="51" operator="containsText" text="H">
      <formula>NOT(ISERROR(SEARCH("H",F31)))</formula>
    </cfRule>
  </conditionalFormatting>
  <conditionalFormatting sqref="F32:F33">
    <cfRule type="containsText" dxfId="280" priority="49" operator="containsText" text="H">
      <formula>NOT(ISERROR(SEARCH("H",F32)))</formula>
    </cfRule>
    <cfRule type="containsText" dxfId="279" priority="50" operator="containsText" text="L">
      <formula>NOT(ISERROR(SEARCH("L",F32)))</formula>
    </cfRule>
  </conditionalFormatting>
  <conditionalFormatting sqref="F34">
    <cfRule type="containsText" dxfId="278" priority="57" operator="containsText" text="L">
      <formula>NOT(ISERROR(SEARCH("L",F34)))</formula>
    </cfRule>
    <cfRule type="containsText" dxfId="277" priority="56" operator="containsText" text="H">
      <formula>NOT(ISERROR(SEARCH("H",F34)))</formula>
    </cfRule>
    <cfRule type="containsText" dxfId="276" priority="55" operator="containsText" text="L">
      <formula>NOT(ISERROR(SEARCH("L",F34)))</formula>
    </cfRule>
  </conditionalFormatting>
  <conditionalFormatting sqref="F34:F39">
    <cfRule type="containsText" dxfId="275" priority="58" operator="containsText" text="H">
      <formula>NOT(ISERROR(SEARCH("H",F34)))</formula>
    </cfRule>
  </conditionalFormatting>
  <conditionalFormatting sqref="F35:F39 F41">
    <cfRule type="containsText" dxfId="274" priority="67" operator="containsText" text="L">
      <formula>NOT(ISERROR(SEARCH("L",F35)))</formula>
    </cfRule>
    <cfRule type="containsText" dxfId="273" priority="68" operator="containsText" text="H">
      <formula>NOT(ISERROR(SEARCH("H",F35)))</formula>
    </cfRule>
  </conditionalFormatting>
  <conditionalFormatting sqref="F40">
    <cfRule type="containsText" dxfId="272" priority="52" operator="containsText" text="H">
      <formula>NOT(ISERROR(SEARCH("H",F40)))</formula>
    </cfRule>
    <cfRule type="containsText" dxfId="271" priority="53" operator="containsText" text="L">
      <formula>NOT(ISERROR(SEARCH("L",F40)))</formula>
    </cfRule>
  </conditionalFormatting>
  <conditionalFormatting sqref="F40:F41">
    <cfRule type="containsText" dxfId="270" priority="54" operator="containsText" text="H">
      <formula>NOT(ISERROR(SEARCH("H",F40)))</formula>
    </cfRule>
  </conditionalFormatting>
  <conditionalFormatting sqref="F42">
    <cfRule type="containsText" dxfId="269" priority="45" operator="containsText" text="L">
      <formula>NOT(ISERROR(SEARCH("L",F42)))</formula>
    </cfRule>
    <cfRule type="containsText" dxfId="268" priority="44" operator="containsText" text="H">
      <formula>NOT(ISERROR(SEARCH("H",F42)))</formula>
    </cfRule>
    <cfRule type="containsText" dxfId="267" priority="43" operator="containsText" text="L">
      <formula>NOT(ISERROR(SEARCH("L",F42)))</formula>
    </cfRule>
    <cfRule type="containsText" dxfId="266" priority="42" operator="containsText" text="H">
      <formula>NOT(ISERROR(SEARCH("H",F42)))</formula>
    </cfRule>
  </conditionalFormatting>
  <conditionalFormatting sqref="F42:F44">
    <cfRule type="containsText" dxfId="265" priority="46" operator="containsText" text="H">
      <formula>NOT(ISERROR(SEARCH("H",F42)))</formula>
    </cfRule>
  </conditionalFormatting>
  <conditionalFormatting sqref="F43:F44">
    <cfRule type="containsText" dxfId="264" priority="48" operator="containsText" text="H">
      <formula>NOT(ISERROR(SEARCH("H",F43)))</formula>
    </cfRule>
    <cfRule type="containsText" dxfId="263" priority="47" operator="containsText" text="L">
      <formula>NOT(ISERROR(SEARCH("L",F43)))</formula>
    </cfRule>
  </conditionalFormatting>
  <conditionalFormatting sqref="F45">
    <cfRule type="containsText" dxfId="262" priority="6" operator="containsText" text="H">
      <formula>NOT(ISERROR(SEARCH("H",F45)))</formula>
    </cfRule>
    <cfRule type="containsText" dxfId="261" priority="5" operator="containsText" text="L">
      <formula>NOT(ISERROR(SEARCH("L",F45)))</formula>
    </cfRule>
    <cfRule type="containsText" dxfId="260" priority="4" operator="containsText" text="H">
      <formula>NOT(ISERROR(SEARCH("H",F45)))</formula>
    </cfRule>
  </conditionalFormatting>
  <conditionalFormatting sqref="J27">
    <cfRule type="containsText" dxfId="259" priority="14" operator="containsText" text="H">
      <formula>NOT(ISERROR(SEARCH("H",J27)))</formula>
    </cfRule>
    <cfRule type="containsText" dxfId="258" priority="13" operator="containsText" text="L">
      <formula>NOT(ISERROR(SEARCH("L",J27)))</formula>
    </cfRule>
  </conditionalFormatting>
  <conditionalFormatting sqref="J28:J29">
    <cfRule type="containsText" dxfId="257" priority="113" operator="containsText" text="L">
      <formula>NOT(ISERROR(SEARCH("L",J28)))</formula>
    </cfRule>
    <cfRule type="containsText" dxfId="256" priority="114" operator="containsText" text="H">
      <formula>NOT(ISERROR(SEARCH("H",J28)))</formula>
    </cfRule>
  </conditionalFormatting>
  <conditionalFormatting sqref="J28:J30">
    <cfRule type="containsText" dxfId="255" priority="41" operator="containsText" text="H">
      <formula>NOT(ISERROR(SEARCH("H",J28)))</formula>
    </cfRule>
  </conditionalFormatting>
  <conditionalFormatting sqref="J30">
    <cfRule type="containsText" dxfId="254" priority="38" operator="containsText" text="L">
      <formula>NOT(ISERROR(SEARCH("L",J30)))</formula>
    </cfRule>
    <cfRule type="containsText" dxfId="253" priority="37" operator="containsText" text="H">
      <formula>NOT(ISERROR(SEARCH("H",J30)))</formula>
    </cfRule>
    <cfRule type="containsText" dxfId="252" priority="36" operator="containsText" text="L">
      <formula>NOT(ISERROR(SEARCH("L",J30)))</formula>
    </cfRule>
  </conditionalFormatting>
  <conditionalFormatting sqref="J30:J33">
    <cfRule type="containsText" dxfId="251" priority="35" operator="containsText" text="H">
      <formula>NOT(ISERROR(SEARCH("H",J30)))</formula>
    </cfRule>
  </conditionalFormatting>
  <conditionalFormatting sqref="J31">
    <cfRule type="containsText" dxfId="250" priority="32" operator="containsText" text="L">
      <formula>NOT(ISERROR(SEARCH("L",J31)))</formula>
    </cfRule>
    <cfRule type="containsText" dxfId="249" priority="31" operator="containsText" text="H">
      <formula>NOT(ISERROR(SEARCH("H",J31)))</formula>
    </cfRule>
    <cfRule type="containsText" dxfId="248" priority="34" operator="containsText" text="L">
      <formula>NOT(ISERROR(SEARCH("L",J31)))</formula>
    </cfRule>
    <cfRule type="containsText" dxfId="247" priority="33" operator="containsText" text="H">
      <formula>NOT(ISERROR(SEARCH("H",J31)))</formula>
    </cfRule>
  </conditionalFormatting>
  <conditionalFormatting sqref="J32:J33 J35:J41">
    <cfRule type="containsText" dxfId="246" priority="40" operator="containsText" text="H">
      <formula>NOT(ISERROR(SEARCH("H",J32)))</formula>
    </cfRule>
    <cfRule type="containsText" dxfId="245" priority="39" operator="containsText" text="L">
      <formula>NOT(ISERROR(SEARCH("L",J32)))</formula>
    </cfRule>
  </conditionalFormatting>
  <conditionalFormatting sqref="J34">
    <cfRule type="containsText" dxfId="244" priority="29" operator="containsText" text="L">
      <formula>NOT(ISERROR(SEARCH("L",J34)))</formula>
    </cfRule>
    <cfRule type="containsText" dxfId="243" priority="28" operator="containsText" text="H">
      <formula>NOT(ISERROR(SEARCH("H",J34)))</formula>
    </cfRule>
    <cfRule type="containsText" dxfId="242" priority="27" operator="containsText" text="L">
      <formula>NOT(ISERROR(SEARCH("L",J34)))</formula>
    </cfRule>
    <cfRule type="containsText" dxfId="241" priority="26" operator="containsText" text="H">
      <formula>NOT(ISERROR(SEARCH("H",J34)))</formula>
    </cfRule>
  </conditionalFormatting>
  <conditionalFormatting sqref="J34:J41">
    <cfRule type="containsText" dxfId="240" priority="30" operator="containsText" text="H">
      <formula>NOT(ISERROR(SEARCH("H",J34)))</formula>
    </cfRule>
  </conditionalFormatting>
  <conditionalFormatting sqref="J42">
    <cfRule type="containsText" dxfId="239" priority="22" operator="containsText" text="L">
      <formula>NOT(ISERROR(SEARCH("L",J42)))</formula>
    </cfRule>
    <cfRule type="containsText" dxfId="238" priority="21" operator="containsText" text="H">
      <formula>NOT(ISERROR(SEARCH("H",J42)))</formula>
    </cfRule>
    <cfRule type="containsText" dxfId="237" priority="20" operator="containsText" text="L">
      <formula>NOT(ISERROR(SEARCH("L",J42)))</formula>
    </cfRule>
    <cfRule type="containsText" dxfId="236" priority="19" operator="containsText" text="H">
      <formula>NOT(ISERROR(SEARCH("H",J42)))</formula>
    </cfRule>
  </conditionalFormatting>
  <conditionalFormatting sqref="J42:J44">
    <cfRule type="containsText" dxfId="235" priority="23" operator="containsText" text="H">
      <formula>NOT(ISERROR(SEARCH("H",J42)))</formula>
    </cfRule>
  </conditionalFormatting>
  <conditionalFormatting sqref="J43:J44">
    <cfRule type="containsText" dxfId="234" priority="25" operator="containsText" text="H">
      <formula>NOT(ISERROR(SEARCH("H",J43)))</formula>
    </cfRule>
    <cfRule type="containsText" dxfId="233" priority="24" operator="containsText" text="L">
      <formula>NOT(ISERROR(SEARCH("L",J43)))</formula>
    </cfRule>
  </conditionalFormatting>
  <conditionalFormatting sqref="J45">
    <cfRule type="containsText" dxfId="232" priority="1" operator="containsText" text="H">
      <formula>NOT(ISERROR(SEARCH("H",J45)))</formula>
    </cfRule>
    <cfRule type="containsText" dxfId="231" priority="3" operator="containsText" text="H">
      <formula>NOT(ISERROR(SEARCH("H",J45)))</formula>
    </cfRule>
    <cfRule type="containsText" dxfId="230" priority="2" operator="containsText" text="L">
      <formula>NOT(ISERROR(SEARCH("L",J45)))</formula>
    </cfRule>
  </conditionalFormatting>
  <dataValidations disablePrompts="1" count="1">
    <dataValidation type="list" allowBlank="1" showInputMessage="1" showErrorMessage="1" sqref="A51:D51" xr:uid="{9E428E54-AA2A-446D-9F35-B1671C27F0B0}">
      <formula1>$A$60:$A$64</formula1>
    </dataValidation>
  </dataValidations>
  <printOptions horizontalCentered="1"/>
  <pageMargins left="0.23622047244094499" right="0.23622047244094499" top="0.74803149606299202" bottom="0.74803149606299202" header="0.31496062992126" footer="0.31496062992126"/>
  <pageSetup paperSize="9" scale="81" orientation="portrait" horizontalDpi="360" verticalDpi="360" r:id="rId1"/>
  <headerFooter>
    <oddFooter>&amp;RDOH-CHD7-CL-Form-9 Rev. 0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B1282-27D9-4F1A-AC11-371E63A76507}">
  <dimension ref="A1:K64"/>
  <sheetViews>
    <sheetView view="pageLayout" topLeftCell="A40" zoomScaleNormal="100" workbookViewId="0">
      <selection activeCell="A54" sqref="A54"/>
    </sheetView>
  </sheetViews>
  <sheetFormatPr defaultRowHeight="14.4"/>
  <cols>
    <col min="1" max="2" width="9" customWidth="1"/>
    <col min="3" max="3" width="4.77734375" customWidth="1"/>
    <col min="4" max="4" width="11.88671875" customWidth="1"/>
    <col min="5" max="5" width="6.109375" customWidth="1"/>
    <col min="6" max="6" width="6.33203125" customWidth="1"/>
    <col min="7" max="7" width="14.44140625" customWidth="1"/>
    <col min="8" max="8" width="11.88671875" customWidth="1"/>
    <col min="9" max="9" width="7.21875" customWidth="1"/>
    <col min="10" max="10" width="6.33203125" customWidth="1"/>
    <col min="11" max="11" width="14.33203125" customWidth="1"/>
    <col min="12" max="12" width="9.6640625" bestFit="1" customWidth="1"/>
    <col min="14" max="14" width="9.6640625" bestFit="1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4.2" customHeight="1"/>
    <row r="9" spans="1:11" ht="14.1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2" customHeight="1" thickBot="1"/>
    <row r="11" spans="1:1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>
        <f>A12</f>
        <v>0</v>
      </c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4.9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1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4.9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500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0.54166666666666663</v>
      </c>
      <c r="I20" s="185"/>
      <c r="J20" s="199"/>
      <c r="K20" s="200"/>
    </row>
    <row r="21" spans="1:11">
      <c r="A21" s="192" t="s">
        <v>33</v>
      </c>
      <c r="B21" s="193"/>
      <c r="C21" s="193"/>
      <c r="D21" s="193"/>
      <c r="E21" s="193"/>
      <c r="F21" s="193"/>
      <c r="G21" s="193"/>
      <c r="H21" s="193"/>
      <c r="I21" s="193"/>
      <c r="J21" s="193"/>
      <c r="K21" s="194"/>
    </row>
    <row r="22" spans="1:11" ht="15" thickBot="1">
      <c r="A22" s="195"/>
      <c r="B22" s="196"/>
      <c r="C22" s="196"/>
      <c r="D22" s="196"/>
      <c r="E22" s="196"/>
      <c r="F22" s="196"/>
      <c r="G22" s="196"/>
      <c r="H22" s="196"/>
      <c r="I22" s="196"/>
      <c r="J22" s="196"/>
      <c r="K22" s="197"/>
    </row>
    <row r="23" spans="1:11" ht="12.6" customHeight="1" thickBot="1">
      <c r="A23" s="201"/>
      <c r="B23" s="202"/>
      <c r="C23" s="202"/>
      <c r="D23" s="202"/>
      <c r="E23" s="202"/>
      <c r="F23" s="202"/>
      <c r="G23" s="202"/>
      <c r="H23" s="202"/>
      <c r="I23" s="202"/>
      <c r="J23" s="202"/>
      <c r="K23" s="203"/>
    </row>
    <row r="24" spans="1:11" s="107" customFormat="1" ht="29.4" customHeight="1" thickBot="1">
      <c r="A24" s="204" t="s">
        <v>18</v>
      </c>
      <c r="B24" s="205"/>
      <c r="C24" s="206"/>
      <c r="D24" s="210" t="s">
        <v>9</v>
      </c>
      <c r="E24" s="211"/>
      <c r="F24" s="212" t="s">
        <v>24</v>
      </c>
      <c r="G24" s="214" t="s">
        <v>11</v>
      </c>
      <c r="H24" s="210" t="s">
        <v>9</v>
      </c>
      <c r="I24" s="211"/>
      <c r="J24" s="212" t="s">
        <v>24</v>
      </c>
      <c r="K24" s="214" t="s">
        <v>11</v>
      </c>
    </row>
    <row r="25" spans="1:11" ht="15" thickBot="1">
      <c r="A25" s="207"/>
      <c r="B25" s="208"/>
      <c r="C25" s="209"/>
      <c r="D25" s="216" t="s">
        <v>146</v>
      </c>
      <c r="E25" s="217"/>
      <c r="F25" s="213"/>
      <c r="G25" s="215"/>
      <c r="H25" s="216" t="s">
        <v>145</v>
      </c>
      <c r="I25" s="217"/>
      <c r="J25" s="213"/>
      <c r="K25" s="215"/>
    </row>
    <row r="26" spans="1:11" ht="7.2" customHeight="1">
      <c r="A26" s="16"/>
      <c r="C26" s="106"/>
      <c r="F26" s="36"/>
      <c r="G26" s="105"/>
      <c r="J26" s="9"/>
      <c r="K26" s="3"/>
    </row>
    <row r="27" spans="1:11">
      <c r="A27" s="104" t="s">
        <v>34</v>
      </c>
      <c r="B27" s="103"/>
      <c r="C27" s="93"/>
      <c r="D27" s="91"/>
      <c r="E27" s="90" t="s">
        <v>98</v>
      </c>
      <c r="F27" s="89" t="str">
        <f>IF(D27&lt;60,"L",IF(D27&lt;=100,"",IF(D27&gt;100,"H")))</f>
        <v>L</v>
      </c>
      <c r="G27" s="102" t="s">
        <v>144</v>
      </c>
      <c r="H27" s="91">
        <f>D27*0.0554951033732318</f>
        <v>0</v>
      </c>
      <c r="I27" s="90" t="s">
        <v>35</v>
      </c>
      <c r="J27" s="148" t="str">
        <f>IF(H27&lt;3.5,"L",IF(H27&lt;=5.5,"",IF(H27&gt;5.5,"H")))</f>
        <v>L</v>
      </c>
      <c r="K27" s="116" t="s">
        <v>36</v>
      </c>
    </row>
    <row r="28" spans="1:11">
      <c r="A28" s="70" t="s">
        <v>37</v>
      </c>
      <c r="B28" s="79"/>
      <c r="C28" s="78"/>
      <c r="D28" s="67"/>
      <c r="E28" s="66" t="s">
        <v>98</v>
      </c>
      <c r="F28" s="75" t="str">
        <f>IF(D28&lt;200,"",IF(D28&gt;=200,"H"))</f>
        <v/>
      </c>
      <c r="G28" s="68" t="s">
        <v>143</v>
      </c>
      <c r="H28" s="67">
        <f>D28*0.0554951033732318</f>
        <v>0</v>
      </c>
      <c r="I28" s="66" t="s">
        <v>35</v>
      </c>
      <c r="J28" s="113" t="str">
        <f>IF(H28&lt;11.1,"",IF(H28&gt;=11.1,"H"))</f>
        <v/>
      </c>
      <c r="K28" s="77" t="s">
        <v>142</v>
      </c>
    </row>
    <row r="29" spans="1:11">
      <c r="A29" s="100" t="s">
        <v>38</v>
      </c>
      <c r="B29" s="46"/>
      <c r="C29" s="115"/>
      <c r="D29" s="97"/>
      <c r="E29" s="52"/>
      <c r="F29" s="96"/>
      <c r="G29" s="98"/>
      <c r="H29" s="97"/>
      <c r="I29" s="52"/>
      <c r="J29" s="53"/>
      <c r="K29" s="114"/>
    </row>
    <row r="30" spans="1:11">
      <c r="A30" s="18"/>
      <c r="B30" s="94" t="s">
        <v>39</v>
      </c>
      <c r="C30" s="93"/>
      <c r="D30" s="91"/>
      <c r="E30" s="90" t="s">
        <v>98</v>
      </c>
      <c r="F30" s="89" t="str">
        <f>IF(D30&lt;0,"L",IF(D30&lt;=200.77,"",IF(D30&gt;200.77,"H")))</f>
        <v/>
      </c>
      <c r="G30" s="92" t="s">
        <v>141</v>
      </c>
      <c r="H30" s="91">
        <f>D30*0.0259997360432889</f>
        <v>0</v>
      </c>
      <c r="I30" s="90" t="s">
        <v>35</v>
      </c>
      <c r="J30" s="148" t="str">
        <f>IF(H30&lt;0,"L",IF(H30&lt;=5.2,"",IF(H30&gt;5.2,"H")))</f>
        <v/>
      </c>
      <c r="K30" s="88" t="s">
        <v>117</v>
      </c>
    </row>
    <row r="31" spans="1:11">
      <c r="A31" s="18"/>
      <c r="B31" s="220" t="s">
        <v>40</v>
      </c>
      <c r="C31" s="221"/>
      <c r="D31" s="67"/>
      <c r="E31" s="110" t="s">
        <v>98</v>
      </c>
      <c r="F31" s="65" t="str">
        <f>IF(D31&lt;44.2,"L",IF(D31&gt;=44.2,""))</f>
        <v>L</v>
      </c>
      <c r="G31" s="68" t="s">
        <v>154</v>
      </c>
      <c r="H31" s="67">
        <f>D31*0.0259997360432889</f>
        <v>0</v>
      </c>
      <c r="I31" s="110" t="s">
        <v>35</v>
      </c>
      <c r="J31" s="109" t="str">
        <f>IF(H31&lt;1.15,"L",IF(H31&gt;=1.15,""))</f>
        <v>L</v>
      </c>
      <c r="K31" s="77" t="s">
        <v>119</v>
      </c>
    </row>
    <row r="32" spans="1:11">
      <c r="A32" s="16"/>
      <c r="B32" s="220" t="s">
        <v>41</v>
      </c>
      <c r="C32" s="221"/>
      <c r="D32" s="67"/>
      <c r="E32" s="66" t="s">
        <v>98</v>
      </c>
      <c r="F32" s="71" t="str">
        <f>IF(D32&lt;0,"L",IF(D32&lt;=99.6,"",IF(D32&gt;99.6,"H")))</f>
        <v/>
      </c>
      <c r="G32" s="73" t="s">
        <v>139</v>
      </c>
      <c r="H32" s="67">
        <f>D32*0.0259997360432889</f>
        <v>0</v>
      </c>
      <c r="I32" s="66" t="s">
        <v>35</v>
      </c>
      <c r="J32" s="149" t="str">
        <f>IF(H32&lt;0,"L",IF(H32&lt;=2.59,"",IF(H32&gt;2.59,"H")))</f>
        <v/>
      </c>
      <c r="K32" s="87" t="s">
        <v>42</v>
      </c>
    </row>
    <row r="33" spans="1:11">
      <c r="A33" s="18"/>
      <c r="B33" s="220" t="s">
        <v>43</v>
      </c>
      <c r="C33" s="221"/>
      <c r="D33" s="67"/>
      <c r="E33" s="66" t="s">
        <v>98</v>
      </c>
      <c r="F33" s="75" t="str">
        <f>IF(D33&lt;1.9,"L",IF(D33&lt;=30.76,"",IF(D33&gt;30.76,"H")))</f>
        <v>L</v>
      </c>
      <c r="G33" s="68" t="s">
        <v>138</v>
      </c>
      <c r="H33" s="67">
        <f>D33*0.0259997360432889</f>
        <v>0</v>
      </c>
      <c r="I33" s="66" t="s">
        <v>35</v>
      </c>
      <c r="J33" s="150" t="str">
        <f>IF(H33&lt;0.05,"L",IF(H33&lt;=0.8,"",IF(H33&gt;0.8,"H")))</f>
        <v>L</v>
      </c>
      <c r="K33" s="77" t="s">
        <v>44</v>
      </c>
    </row>
    <row r="34" spans="1:11">
      <c r="A34" s="18"/>
      <c r="B34" s="69" t="s">
        <v>45</v>
      </c>
      <c r="C34" s="78"/>
      <c r="D34" s="67"/>
      <c r="E34" s="110" t="s">
        <v>98</v>
      </c>
      <c r="F34" s="71" t="str">
        <f>IF(D34&lt;0,"L",IF(D34&lt;=203.54,"",IF(D34&gt;203.54,"H")))</f>
        <v/>
      </c>
      <c r="G34" s="73" t="s">
        <v>137</v>
      </c>
      <c r="H34" s="84">
        <f>D34*0.0112997464447139</f>
        <v>0</v>
      </c>
      <c r="I34" s="110" t="s">
        <v>35</v>
      </c>
      <c r="J34" s="149" t="str">
        <f>IF(H34&lt;0,H37,IF(H34&lt;=2.3,"",IF(H34&gt;2.3,"H")))</f>
        <v/>
      </c>
      <c r="K34" s="87" t="s">
        <v>136</v>
      </c>
    </row>
    <row r="35" spans="1:11">
      <c r="A35" s="235" t="s">
        <v>46</v>
      </c>
      <c r="B35" s="236"/>
      <c r="C35" s="237"/>
      <c r="D35" s="91"/>
      <c r="E35" s="111" t="s">
        <v>98</v>
      </c>
      <c r="F35" s="112" t="str">
        <f>IF(D35&lt;0.5,"L",IF(D35&lt;=0.9,"",IF(D35&gt;0.9,"H")))</f>
        <v>L</v>
      </c>
      <c r="G35" s="102" t="s">
        <v>153</v>
      </c>
      <c r="H35" s="67">
        <f>D35*88.8524590163934</f>
        <v>0</v>
      </c>
      <c r="I35" s="111" t="s">
        <v>47</v>
      </c>
      <c r="J35" s="151" t="str">
        <f>IF(H35&lt;44,"L",IF(H35&lt;=80,"",IF(H35&gt;80,"H")))</f>
        <v>L</v>
      </c>
      <c r="K35" s="101" t="s">
        <v>152</v>
      </c>
    </row>
    <row r="36" spans="1:11">
      <c r="A36" s="222" t="s">
        <v>48</v>
      </c>
      <c r="B36" s="220"/>
      <c r="C36" s="221"/>
      <c r="D36" s="67"/>
      <c r="E36" s="66" t="s">
        <v>98</v>
      </c>
      <c r="F36" s="65" t="str">
        <f>IF(D36&lt;16.87,"L",IF(D36&lt;=43.37,"",IF(D36&gt;43.37,"H")))</f>
        <v>L</v>
      </c>
      <c r="G36" s="68" t="s">
        <v>133</v>
      </c>
      <c r="H36" s="67">
        <f>D36*0.165970375996961</f>
        <v>0</v>
      </c>
      <c r="I36" s="66" t="s">
        <v>35</v>
      </c>
      <c r="J36" s="109" t="str">
        <f>IF(H36&lt;2.8,"L",IF(H36&lt;=7.2,"",IF(H36&gt;7.2,"H")))</f>
        <v>L</v>
      </c>
      <c r="K36" s="77" t="s">
        <v>132</v>
      </c>
    </row>
    <row r="37" spans="1:11">
      <c r="A37" s="70" t="s">
        <v>49</v>
      </c>
      <c r="B37" s="79"/>
      <c r="C37" s="78"/>
      <c r="D37" s="67"/>
      <c r="E37" s="72" t="s">
        <v>98</v>
      </c>
      <c r="F37" s="75" t="str">
        <f>IF(D37&lt;2.3,"L",IF(D37&lt;=6.1,"",IF(D37&gt;6.1,"H")))</f>
        <v>L</v>
      </c>
      <c r="G37" s="68" t="s">
        <v>151</v>
      </c>
      <c r="H37" s="67">
        <f>D37*59.5</f>
        <v>0</v>
      </c>
      <c r="I37" s="72" t="s">
        <v>47</v>
      </c>
      <c r="J37" s="150" t="str">
        <f>IF(H37&lt;137,"L",IF(H37&lt;=363,"",IF(H37&gt;363,"H")))</f>
        <v>L</v>
      </c>
      <c r="K37" s="77" t="s">
        <v>150</v>
      </c>
    </row>
    <row r="38" spans="1:11">
      <c r="A38" s="222" t="s">
        <v>50</v>
      </c>
      <c r="B38" s="220"/>
      <c r="C38" s="221"/>
      <c r="D38" s="67"/>
      <c r="E38" s="66" t="s">
        <v>51</v>
      </c>
      <c r="F38" s="109" t="str">
        <f>IF(D38&lt;0,"L",IF(D38&lt;=34,"",IF(D38&gt;34,"H")))</f>
        <v/>
      </c>
      <c r="G38" s="147" t="s">
        <v>58</v>
      </c>
      <c r="H38" s="67">
        <f>D38</f>
        <v>0</v>
      </c>
      <c r="I38" s="66" t="s">
        <v>51</v>
      </c>
      <c r="J38" s="109" t="str">
        <f>IF(H38&lt;0,"L",IF(H38&lt;=34,"",IF(H38&gt;34,"H")))</f>
        <v/>
      </c>
      <c r="K38" s="64" t="s">
        <v>149</v>
      </c>
    </row>
    <row r="39" spans="1:11">
      <c r="A39" s="222" t="s">
        <v>52</v>
      </c>
      <c r="B39" s="220"/>
      <c r="C39" s="221"/>
      <c r="D39" s="67"/>
      <c r="E39" s="66" t="s">
        <v>51</v>
      </c>
      <c r="F39" s="109" t="str">
        <f>IF(D39&lt;0,"L",IF(D39&lt;=31,"",IF(D39&gt;31,"H")))</f>
        <v/>
      </c>
      <c r="G39" s="147" t="s">
        <v>59</v>
      </c>
      <c r="H39" s="67">
        <f>D39</f>
        <v>0</v>
      </c>
      <c r="I39" s="66" t="s">
        <v>51</v>
      </c>
      <c r="J39" s="109" t="str">
        <f>IF(H39&lt;0,"L",IF(H39&lt;=31,"",IF(H39&gt;31,"H")))</f>
        <v/>
      </c>
      <c r="K39" s="64" t="s">
        <v>148</v>
      </c>
    </row>
    <row r="40" spans="1:11">
      <c r="A40" s="70" t="s">
        <v>53</v>
      </c>
      <c r="B40" s="69"/>
      <c r="C40" s="74"/>
      <c r="D40" s="67"/>
      <c r="E40" s="72" t="s">
        <v>98</v>
      </c>
      <c r="F40" s="75" t="str">
        <f>IF(D40&lt;0.1,"L",IF(D40&lt;=1.2,"",IF(D40&gt;1.2,"H")))</f>
        <v>L</v>
      </c>
      <c r="G40" s="68" t="s">
        <v>125</v>
      </c>
      <c r="H40" s="67">
        <f>D40*17.1</f>
        <v>0</v>
      </c>
      <c r="I40" s="72" t="s">
        <v>47</v>
      </c>
      <c r="J40" s="150" t="str">
        <f>IF(H40&lt;2,"L",IF(H40&lt;=21,"",IF(H40&gt;21,"H")))</f>
        <v>L</v>
      </c>
      <c r="K40" s="64" t="s">
        <v>124</v>
      </c>
    </row>
    <row r="41" spans="1:11">
      <c r="A41" s="222" t="s">
        <v>54</v>
      </c>
      <c r="B41" s="220"/>
      <c r="C41" s="74"/>
      <c r="D41" s="67"/>
      <c r="E41" s="72" t="s">
        <v>98</v>
      </c>
      <c r="F41" s="71" t="str">
        <f>IF(D41&lt;0,"L",IF(D41&lt;=0.3,"",IF(D41&gt;0.3,"H")))</f>
        <v/>
      </c>
      <c r="G41" s="73" t="s">
        <v>123</v>
      </c>
      <c r="H41" s="67">
        <f>D41*17.1</f>
        <v>0</v>
      </c>
      <c r="I41" s="72" t="s">
        <v>47</v>
      </c>
      <c r="J41" s="149" t="str">
        <f>IF(H41&lt;0,"L",IF(H41&lt;=5.13,"",IF(H41&gt;5.13,"H")))</f>
        <v/>
      </c>
      <c r="K41" s="64" t="s">
        <v>56</v>
      </c>
    </row>
    <row r="42" spans="1:11">
      <c r="A42" s="223" t="s">
        <v>368</v>
      </c>
      <c r="B42" s="224"/>
      <c r="C42" s="225"/>
      <c r="D42" s="67">
        <f>H42/17.1</f>
        <v>0</v>
      </c>
      <c r="E42" s="72" t="s">
        <v>98</v>
      </c>
      <c r="F42" s="65" t="str">
        <f>IF(D42&lt;0.2,"L",IF(D42&lt;=1.2,"",IF(D42&gt;1.2,"H")))</f>
        <v>L</v>
      </c>
      <c r="G42" s="68" t="s">
        <v>369</v>
      </c>
      <c r="H42" s="67">
        <f>H40-H41</f>
        <v>0</v>
      </c>
      <c r="I42" s="72" t="s">
        <v>47</v>
      </c>
      <c r="J42" s="109" t="str">
        <f>IF(H42&lt;3.42,"L",IF(H42&lt;=20.52,"",IF(H42&gt;20.52,"H")))</f>
        <v>L</v>
      </c>
      <c r="K42" s="64" t="s">
        <v>370</v>
      </c>
    </row>
    <row r="43" spans="1:11">
      <c r="A43" s="70" t="s">
        <v>55</v>
      </c>
      <c r="B43" s="69"/>
      <c r="C43" s="117"/>
      <c r="D43" s="67"/>
      <c r="E43" s="66" t="s">
        <v>51</v>
      </c>
      <c r="F43" s="109" t="str">
        <f>IF(D43&lt;9,"L",IF(D43&lt;=39,"",IF(D43&gt;39,"H")))</f>
        <v>L</v>
      </c>
      <c r="G43" s="147" t="s">
        <v>60</v>
      </c>
      <c r="H43" s="67">
        <f>D43</f>
        <v>0</v>
      </c>
      <c r="I43" s="66" t="s">
        <v>51</v>
      </c>
      <c r="J43" s="109" t="str">
        <f>IF(H43&lt;9,"L",IF(H43&lt;=39,"",IF(H43&gt;39,"H")))</f>
        <v>L</v>
      </c>
      <c r="K43" s="64" t="s">
        <v>147</v>
      </c>
    </row>
    <row r="44" spans="1:11">
      <c r="A44" s="119" t="s">
        <v>162</v>
      </c>
      <c r="B44" s="63"/>
      <c r="C44" s="108"/>
      <c r="D44" s="60"/>
      <c r="E44" s="59" t="s">
        <v>51</v>
      </c>
      <c r="F44" s="58" t="str">
        <f>IF(D44&lt;30,"L",IF(D44&lt;=120,"",IF(D44&gt;120,"H")))</f>
        <v>L</v>
      </c>
      <c r="G44" s="61" t="s">
        <v>163</v>
      </c>
      <c r="H44" s="60">
        <f>D44</f>
        <v>0</v>
      </c>
      <c r="I44" s="59" t="s">
        <v>51</v>
      </c>
      <c r="J44" s="58" t="str">
        <f>IF(H44&lt;30,"L",IF(H44&lt;=120,"",IF(H44&gt;120,"H")))</f>
        <v>L</v>
      </c>
      <c r="K44" s="125" t="s">
        <v>163</v>
      </c>
    </row>
    <row r="45" spans="1:11" ht="14.1" customHeight="1">
      <c r="A45" s="119" t="s">
        <v>618</v>
      </c>
      <c r="B45" s="63"/>
      <c r="C45" s="108"/>
      <c r="D45" s="60"/>
      <c r="E45" s="59" t="s">
        <v>31</v>
      </c>
      <c r="F45" s="58" t="str">
        <f>IF(D45&lt;4.5,"L",IF(D45&lt;=6.5,"",IF(D45&gt;6.5,"H")))</f>
        <v>L</v>
      </c>
      <c r="G45" s="61" t="s">
        <v>619</v>
      </c>
      <c r="H45" s="60">
        <f>(D45-2.152)/0.09148</f>
        <v>-23.524267599475294</v>
      </c>
      <c r="I45" s="59" t="s">
        <v>620</v>
      </c>
      <c r="J45" s="58" t="str">
        <f>IF(H45&lt;25.67,"L",IF(H45&lt;=47.53,"",IF(H45&gt;47.53,"H")))</f>
        <v>L</v>
      </c>
      <c r="K45" s="125" t="s">
        <v>621</v>
      </c>
    </row>
    <row r="46" spans="1:11" ht="14.1" customHeight="1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13" t="s">
        <v>13</v>
      </c>
      <c r="C47" s="229"/>
      <c r="D47" s="229"/>
      <c r="E47" s="229"/>
      <c r="F47" s="229"/>
      <c r="G47" s="229"/>
      <c r="H47" s="229"/>
      <c r="I47" s="229"/>
      <c r="J47" s="229"/>
      <c r="K47" s="229"/>
    </row>
    <row r="48" spans="1:11" ht="8.4" customHeight="1"/>
    <row r="49" spans="1:11">
      <c r="A49" s="14" t="s">
        <v>14</v>
      </c>
      <c r="E49" s="15" t="s">
        <v>16</v>
      </c>
      <c r="I49" s="15" t="s">
        <v>17</v>
      </c>
    </row>
    <row r="50" spans="1:11">
      <c r="I50" s="31"/>
    </row>
    <row r="51" spans="1:11">
      <c r="A51" s="218" t="s">
        <v>25</v>
      </c>
      <c r="B51" s="218"/>
      <c r="C51" s="218"/>
      <c r="D51" s="218"/>
      <c r="E51" s="218" t="s">
        <v>171</v>
      </c>
      <c r="F51" s="218"/>
      <c r="G51" s="218"/>
      <c r="H51" s="218"/>
      <c r="I51" s="219" t="s">
        <v>120</v>
      </c>
      <c r="J51" s="219"/>
      <c r="K51" s="219"/>
    </row>
    <row r="52" spans="1:11">
      <c r="A52" s="230" t="s">
        <v>15</v>
      </c>
      <c r="B52" s="230"/>
      <c r="C52" s="230"/>
      <c r="D52" s="230"/>
      <c r="E52" s="231" t="s">
        <v>172</v>
      </c>
      <c r="F52" s="231"/>
      <c r="G52" s="231"/>
      <c r="H52" s="231"/>
      <c r="I52" s="231" t="s">
        <v>113</v>
      </c>
      <c r="J52" s="231"/>
      <c r="K52" s="231"/>
    </row>
    <row r="53" spans="1:11">
      <c r="A53" s="231" t="str">
        <f>IF(A51=A60,"Lic. No. 0091946",IF(A51=A61,"Lic. No. 0068902",IF(A51=A62,"Lic. No. 0081395",IF(A51=A63,"Lic. No. 0054465",IF(A51=A64,"Lic. No. 0060939")))))</f>
        <v>Lic. No. 0068902</v>
      </c>
      <c r="B53" s="231"/>
      <c r="C53" s="231"/>
      <c r="D53" s="231"/>
      <c r="E53" s="231" t="s">
        <v>173</v>
      </c>
      <c r="F53" s="231"/>
      <c r="G53" s="231"/>
      <c r="H53" s="231"/>
      <c r="I53" s="231" t="s">
        <v>121</v>
      </c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60" spans="1:11">
      <c r="A60" s="33" t="s">
        <v>616</v>
      </c>
      <c r="B60" s="33" t="s">
        <v>617</v>
      </c>
    </row>
    <row r="61" spans="1:11">
      <c r="A61" s="34" t="s">
        <v>25</v>
      </c>
      <c r="B61" s="35" t="s">
        <v>26</v>
      </c>
    </row>
    <row r="62" spans="1:11">
      <c r="A62" s="34" t="s">
        <v>22</v>
      </c>
      <c r="B62" s="35" t="s">
        <v>23</v>
      </c>
    </row>
    <row r="63" spans="1:11">
      <c r="A63" t="s">
        <v>614</v>
      </c>
      <c r="B63" t="s">
        <v>615</v>
      </c>
    </row>
    <row r="64" spans="1:11">
      <c r="A64" t="s">
        <v>160</v>
      </c>
      <c r="B64" t="s">
        <v>161</v>
      </c>
    </row>
  </sheetData>
  <mergeCells count="58">
    <mergeCell ref="A52:D52"/>
    <mergeCell ref="E52:H52"/>
    <mergeCell ref="I52:K52"/>
    <mergeCell ref="A53:D53"/>
    <mergeCell ref="E53:H53"/>
    <mergeCell ref="I53:K53"/>
    <mergeCell ref="A51:D51"/>
    <mergeCell ref="E51:H51"/>
    <mergeCell ref="I51:K51"/>
    <mergeCell ref="B31:C31"/>
    <mergeCell ref="B32:C32"/>
    <mergeCell ref="B33:C33"/>
    <mergeCell ref="A35:C35"/>
    <mergeCell ref="A36:C36"/>
    <mergeCell ref="A38:C38"/>
    <mergeCell ref="A39:C39"/>
    <mergeCell ref="A41:B41"/>
    <mergeCell ref="A42:C42"/>
    <mergeCell ref="A46:K46"/>
    <mergeCell ref="C47:K47"/>
    <mergeCell ref="A23:K23"/>
    <mergeCell ref="A24:C25"/>
    <mergeCell ref="D24:E24"/>
    <mergeCell ref="F24:F25"/>
    <mergeCell ref="G24:G25"/>
    <mergeCell ref="H24:I24"/>
    <mergeCell ref="J24:J25"/>
    <mergeCell ref="K24:K25"/>
    <mergeCell ref="D25:E25"/>
    <mergeCell ref="H25:I25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20:C20"/>
    <mergeCell ref="D20:E20"/>
    <mergeCell ref="F20:G20"/>
    <mergeCell ref="H20:I20"/>
    <mergeCell ref="J20:K20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6">
    <cfRule type="containsText" dxfId="229" priority="170" operator="containsText" text="H">
      <formula>NOT(ISERROR(SEARCH("H",F26)))</formula>
    </cfRule>
    <cfRule type="containsText" dxfId="228" priority="169" operator="containsText" text="L">
      <formula>NOT(ISERROR(SEARCH("L",F26)))</formula>
    </cfRule>
  </conditionalFormatting>
  <conditionalFormatting sqref="F26:F27">
    <cfRule type="containsText" dxfId="227" priority="55" operator="containsText" text="H">
      <formula>NOT(ISERROR(SEARCH("H",F26)))</formula>
    </cfRule>
  </conditionalFormatting>
  <conditionalFormatting sqref="F27">
    <cfRule type="containsText" dxfId="226" priority="53" operator="containsText" text="H">
      <formula>NOT(ISERROR(SEARCH("H",F27)))</formula>
    </cfRule>
    <cfRule type="containsText" dxfId="225" priority="54" operator="containsText" text="L">
      <formula>NOT(ISERROR(SEARCH("L",F27)))</formula>
    </cfRule>
  </conditionalFormatting>
  <conditionalFormatting sqref="F28:F29">
    <cfRule type="containsText" dxfId="224" priority="92" operator="containsText" text="L">
      <formula>NOT(ISERROR(SEARCH("L",F28)))</formula>
    </cfRule>
    <cfRule type="containsText" dxfId="223" priority="93" operator="containsText" text="H">
      <formula>NOT(ISERROR(SEARCH("H",F28)))</formula>
    </cfRule>
  </conditionalFormatting>
  <conditionalFormatting sqref="F28:F30">
    <cfRule type="containsText" dxfId="222" priority="88" operator="containsText" text="H">
      <formula>NOT(ISERROR(SEARCH("H",F28)))</formula>
    </cfRule>
  </conditionalFormatting>
  <conditionalFormatting sqref="F30">
    <cfRule type="containsText" dxfId="221" priority="87" operator="containsText" text="L">
      <formula>NOT(ISERROR(SEARCH("L",F30)))</formula>
    </cfRule>
    <cfRule type="containsText" dxfId="220" priority="86" operator="containsText" text="H">
      <formula>NOT(ISERROR(SEARCH("H",F30)))</formula>
    </cfRule>
    <cfRule type="containsText" dxfId="219" priority="85" operator="containsText" text="L">
      <formula>NOT(ISERROR(SEARCH("L",F30)))</formula>
    </cfRule>
  </conditionalFormatting>
  <conditionalFormatting sqref="F30:F33">
    <cfRule type="containsText" dxfId="218" priority="84" operator="containsText" text="H">
      <formula>NOT(ISERROR(SEARCH("H",F30)))</formula>
    </cfRule>
  </conditionalFormatting>
  <conditionalFormatting sqref="F31">
    <cfRule type="containsText" dxfId="217" priority="81" operator="containsText" text="L">
      <formula>NOT(ISERROR(SEARCH("L",F31)))</formula>
    </cfRule>
    <cfRule type="containsText" dxfId="216" priority="83" operator="containsText" text="L">
      <formula>NOT(ISERROR(SEARCH("L",F31)))</formula>
    </cfRule>
    <cfRule type="containsText" dxfId="215" priority="82" operator="containsText" text="H">
      <formula>NOT(ISERROR(SEARCH("H",F31)))</formula>
    </cfRule>
    <cfRule type="containsText" dxfId="214" priority="80" operator="containsText" text="H">
      <formula>NOT(ISERROR(SEARCH("H",F31)))</formula>
    </cfRule>
  </conditionalFormatting>
  <conditionalFormatting sqref="F32:F33 F35:F37 F41">
    <cfRule type="containsText" dxfId="213" priority="90" operator="containsText" text="H">
      <formula>NOT(ISERROR(SEARCH("H",F32)))</formula>
    </cfRule>
    <cfRule type="containsText" dxfId="212" priority="89" operator="containsText" text="L">
      <formula>NOT(ISERROR(SEARCH("L",F32)))</formula>
    </cfRule>
  </conditionalFormatting>
  <conditionalFormatting sqref="F34">
    <cfRule type="containsText" dxfId="211" priority="76" operator="containsText" text="L">
      <formula>NOT(ISERROR(SEARCH("L",F34)))</formula>
    </cfRule>
    <cfRule type="containsText" dxfId="210" priority="78" operator="containsText" text="L">
      <formula>NOT(ISERROR(SEARCH("L",F34)))</formula>
    </cfRule>
    <cfRule type="containsText" dxfId="209" priority="77" operator="containsText" text="H">
      <formula>NOT(ISERROR(SEARCH("H",F34)))</formula>
    </cfRule>
    <cfRule type="containsText" dxfId="208" priority="75" operator="containsText" text="H">
      <formula>NOT(ISERROR(SEARCH("H",F34)))</formula>
    </cfRule>
  </conditionalFormatting>
  <conditionalFormatting sqref="F34:F37">
    <cfRule type="containsText" dxfId="207" priority="79" operator="containsText" text="H">
      <formula>NOT(ISERROR(SEARCH("H",F34)))</formula>
    </cfRule>
  </conditionalFormatting>
  <conditionalFormatting sqref="F38:F39">
    <cfRule type="containsText" dxfId="206" priority="71" operator="containsText" text="L">
      <formula>NOT(ISERROR(SEARCH("L",F38)))</formula>
    </cfRule>
    <cfRule type="containsText" dxfId="205" priority="70" operator="containsText" text="H">
      <formula>NOT(ISERROR(SEARCH("H",F38)))</formula>
    </cfRule>
    <cfRule type="containsText" dxfId="204" priority="69" operator="containsText" text="L">
      <formula>NOT(ISERROR(SEARCH("L",F38)))</formula>
    </cfRule>
    <cfRule type="containsText" dxfId="203" priority="68" operator="containsText" text="H">
      <formula>NOT(ISERROR(SEARCH("H",F38)))</formula>
    </cfRule>
  </conditionalFormatting>
  <conditionalFormatting sqref="F38:F40">
    <cfRule type="containsText" dxfId="202" priority="72" operator="containsText" text="H">
      <formula>NOT(ISERROR(SEARCH("H",F38)))</formula>
    </cfRule>
  </conditionalFormatting>
  <conditionalFormatting sqref="F40">
    <cfRule type="containsText" dxfId="201" priority="73" operator="containsText" text="L">
      <formula>NOT(ISERROR(SEARCH("L",F40)))</formula>
    </cfRule>
  </conditionalFormatting>
  <conditionalFormatting sqref="F40:F41">
    <cfRule type="containsText" dxfId="200" priority="74" operator="containsText" text="H">
      <formula>NOT(ISERROR(SEARCH("H",F40)))</formula>
    </cfRule>
  </conditionalFormatting>
  <conditionalFormatting sqref="F42">
    <cfRule type="containsText" dxfId="199" priority="56" operator="containsText" text="H">
      <formula>NOT(ISERROR(SEARCH("H",F42)))</formula>
    </cfRule>
    <cfRule type="containsText" dxfId="198" priority="60" operator="containsText" text="H">
      <formula>NOT(ISERROR(SEARCH("H",F42)))</formula>
    </cfRule>
    <cfRule type="containsText" dxfId="197" priority="59" operator="containsText" text="L">
      <formula>NOT(ISERROR(SEARCH("L",F42)))</formula>
    </cfRule>
    <cfRule type="containsText" dxfId="196" priority="58" operator="containsText" text="H">
      <formula>NOT(ISERROR(SEARCH("H",F42)))</formula>
    </cfRule>
    <cfRule type="containsText" dxfId="195" priority="57" operator="containsText" text="L">
      <formula>NOT(ISERROR(SEARCH("L",F42)))</formula>
    </cfRule>
  </conditionalFormatting>
  <conditionalFormatting sqref="F43">
    <cfRule type="containsText" dxfId="194" priority="66" operator="containsText" text="L">
      <formula>NOT(ISERROR(SEARCH("L",F43)))</formula>
    </cfRule>
    <cfRule type="containsText" dxfId="193" priority="67" operator="containsText" text="H">
      <formula>NOT(ISERROR(SEARCH("H",F43)))</formula>
    </cfRule>
    <cfRule type="containsText" dxfId="192" priority="64" operator="containsText" text="L">
      <formula>NOT(ISERROR(SEARCH("L",F43)))</formula>
    </cfRule>
    <cfRule type="containsText" dxfId="191" priority="65" operator="containsText" text="H">
      <formula>NOT(ISERROR(SEARCH("H",F43)))</formula>
    </cfRule>
  </conditionalFormatting>
  <conditionalFormatting sqref="F43:F44">
    <cfRule type="containsText" dxfId="190" priority="63" operator="containsText" text="H">
      <formula>NOT(ISERROR(SEARCH("H",F43)))</formula>
    </cfRule>
  </conditionalFormatting>
  <conditionalFormatting sqref="F44">
    <cfRule type="containsText" dxfId="189" priority="62" operator="containsText" text="L">
      <formula>NOT(ISERROR(SEARCH("L",F44)))</formula>
    </cfRule>
  </conditionalFormatting>
  <conditionalFormatting sqref="F44:F45">
    <cfRule type="containsText" dxfId="188" priority="6" operator="containsText" text="H">
      <formula>NOT(ISERROR(SEARCH("H",F44)))</formula>
    </cfRule>
  </conditionalFormatting>
  <conditionalFormatting sqref="F45">
    <cfRule type="containsText" dxfId="187" priority="5" operator="containsText" text="L">
      <formula>NOT(ISERROR(SEARCH("L",F45)))</formula>
    </cfRule>
    <cfRule type="containsText" dxfId="186" priority="4" operator="containsText" text="H">
      <formula>NOT(ISERROR(SEARCH("H",F45)))</formula>
    </cfRule>
  </conditionalFormatting>
  <conditionalFormatting sqref="J27">
    <cfRule type="containsText" dxfId="185" priority="16" operator="containsText" text="L">
      <formula>NOT(ISERROR(SEARCH("L",J27)))</formula>
    </cfRule>
    <cfRule type="containsText" dxfId="184" priority="15" operator="containsText" text="H">
      <formula>NOT(ISERROR(SEARCH("H",J27)))</formula>
    </cfRule>
    <cfRule type="containsText" dxfId="183" priority="14" operator="containsText" text="L">
      <formula>NOT(ISERROR(SEARCH("L",J27)))</formula>
    </cfRule>
    <cfRule type="containsText" dxfId="182" priority="13" operator="containsText" text="H">
      <formula>NOT(ISERROR(SEARCH("H",J27)))</formula>
    </cfRule>
  </conditionalFormatting>
  <conditionalFormatting sqref="J27:J28">
    <cfRule type="containsText" dxfId="181" priority="17" operator="containsText" text="H">
      <formula>NOT(ISERROR(SEARCH("H",J27)))</formula>
    </cfRule>
  </conditionalFormatting>
  <conditionalFormatting sqref="J28">
    <cfRule type="containsText" dxfId="180" priority="44" operator="containsText" text="L">
      <formula>NOT(ISERROR(SEARCH("L",J28)))</formula>
    </cfRule>
    <cfRule type="containsText" dxfId="179" priority="45" operator="containsText" text="H">
      <formula>NOT(ISERROR(SEARCH("H",J28)))</formula>
    </cfRule>
    <cfRule type="containsText" dxfId="178" priority="46" operator="containsText" text="L">
      <formula>NOT(ISERROR(SEARCH("L",J28)))</formula>
    </cfRule>
  </conditionalFormatting>
  <conditionalFormatting sqref="J28:J29">
    <cfRule type="containsText" dxfId="177" priority="47" operator="containsText" text="H">
      <formula>NOT(ISERROR(SEARCH("H",J28)))</formula>
    </cfRule>
  </conditionalFormatting>
  <conditionalFormatting sqref="J29">
    <cfRule type="containsText" dxfId="176" priority="51" operator="containsText" text="L">
      <formula>NOT(ISERROR(SEARCH("L",J29)))</formula>
    </cfRule>
    <cfRule type="containsText" dxfId="175" priority="52" operator="containsText" text="H">
      <formula>NOT(ISERROR(SEARCH("H",J29)))</formula>
    </cfRule>
    <cfRule type="containsText" dxfId="174" priority="49" operator="containsText" text="L">
      <formula>NOT(ISERROR(SEARCH("L",J29)))</formula>
    </cfRule>
    <cfRule type="containsText" dxfId="173" priority="50" operator="containsText" text="H">
      <formula>NOT(ISERROR(SEARCH("H",J29)))</formula>
    </cfRule>
  </conditionalFormatting>
  <conditionalFormatting sqref="J30:J39">
    <cfRule type="containsText" dxfId="172" priority="38" operator="containsText" text="H">
      <formula>NOT(ISERROR(SEARCH("H",J30)))</formula>
    </cfRule>
    <cfRule type="containsText" dxfId="171" priority="37" operator="containsText" text="L">
      <formula>NOT(ISERROR(SEARCH("L",J30)))</formula>
    </cfRule>
    <cfRule type="containsText" dxfId="170" priority="36" operator="containsText" text="H">
      <formula>NOT(ISERROR(SEARCH("H",J30)))</formula>
    </cfRule>
    <cfRule type="containsText" dxfId="169" priority="35" operator="containsText" text="L">
      <formula>NOT(ISERROR(SEARCH("L",J30)))</formula>
    </cfRule>
  </conditionalFormatting>
  <conditionalFormatting sqref="J30:J41">
    <cfRule type="containsText" dxfId="168" priority="34" operator="containsText" text="H">
      <formula>NOT(ISERROR(SEARCH("H",J30)))</formula>
    </cfRule>
  </conditionalFormatting>
  <conditionalFormatting sqref="J40">
    <cfRule type="containsText" dxfId="167" priority="33" operator="containsText" text="L">
      <formula>NOT(ISERROR(SEARCH("L",J40)))</formula>
    </cfRule>
    <cfRule type="containsText" dxfId="166" priority="32" operator="containsText" text="H">
      <formula>NOT(ISERROR(SEARCH("H",J40)))</formula>
    </cfRule>
    <cfRule type="containsText" dxfId="165" priority="31" operator="containsText" text="L">
      <formula>NOT(ISERROR(SEARCH("L",J40)))</formula>
    </cfRule>
    <cfRule type="containsText" dxfId="164" priority="30" operator="containsText" text="H">
      <formula>NOT(ISERROR(SEARCH("H",J40)))</formula>
    </cfRule>
  </conditionalFormatting>
  <conditionalFormatting sqref="J41">
    <cfRule type="containsText" dxfId="163" priority="42" operator="containsText" text="H">
      <formula>NOT(ISERROR(SEARCH("H",J41)))</formula>
    </cfRule>
    <cfRule type="containsText" dxfId="162" priority="41" operator="containsText" text="L">
      <formula>NOT(ISERROR(SEARCH("L",J41)))</formula>
    </cfRule>
    <cfRule type="containsText" dxfId="161" priority="39" operator="containsText" text="L">
      <formula>NOT(ISERROR(SEARCH("L",J41)))</formula>
    </cfRule>
    <cfRule type="containsText" dxfId="160" priority="40" operator="containsText" text="H">
      <formula>NOT(ISERROR(SEARCH("H",J41)))</formula>
    </cfRule>
  </conditionalFormatting>
  <conditionalFormatting sqref="J42">
    <cfRule type="containsText" dxfId="159" priority="22" operator="containsText" text="H">
      <formula>NOT(ISERROR(SEARCH("H",J42)))</formula>
    </cfRule>
    <cfRule type="containsText" dxfId="158" priority="21" operator="containsText" text="L">
      <formula>NOT(ISERROR(SEARCH("L",J42)))</formula>
    </cfRule>
    <cfRule type="containsText" dxfId="157" priority="20" operator="containsText" text="H">
      <formula>NOT(ISERROR(SEARCH("H",J42)))</formula>
    </cfRule>
    <cfRule type="containsText" dxfId="156" priority="19" operator="containsText" text="L">
      <formula>NOT(ISERROR(SEARCH("L",J42)))</formula>
    </cfRule>
    <cfRule type="containsText" dxfId="155" priority="18" operator="containsText" text="H">
      <formula>NOT(ISERROR(SEARCH("H",J42)))</formula>
    </cfRule>
  </conditionalFormatting>
  <conditionalFormatting sqref="J43">
    <cfRule type="containsText" dxfId="154" priority="27" operator="containsText" text="H">
      <formula>NOT(ISERROR(SEARCH("H",J43)))</formula>
    </cfRule>
    <cfRule type="containsText" dxfId="153" priority="26" operator="containsText" text="L">
      <formula>NOT(ISERROR(SEARCH("L",J43)))</formula>
    </cfRule>
    <cfRule type="containsText" dxfId="152" priority="28" operator="containsText" text="L">
      <formula>NOT(ISERROR(SEARCH("L",J43)))</formula>
    </cfRule>
    <cfRule type="containsText" dxfId="151" priority="29" operator="containsText" text="H">
      <formula>NOT(ISERROR(SEARCH("H",J43)))</formula>
    </cfRule>
  </conditionalFormatting>
  <conditionalFormatting sqref="J43:J44">
    <cfRule type="containsText" dxfId="150" priority="25" operator="containsText" text="H">
      <formula>NOT(ISERROR(SEARCH("H",J43)))</formula>
    </cfRule>
  </conditionalFormatting>
  <conditionalFormatting sqref="J44">
    <cfRule type="containsText" dxfId="149" priority="24" operator="containsText" text="L">
      <formula>NOT(ISERROR(SEARCH("L",J44)))</formula>
    </cfRule>
  </conditionalFormatting>
  <conditionalFormatting sqref="J44:J45">
    <cfRule type="containsText" dxfId="148" priority="3" operator="containsText" text="H">
      <formula>NOT(ISERROR(SEARCH("H",J44)))</formula>
    </cfRule>
  </conditionalFormatting>
  <conditionalFormatting sqref="J45">
    <cfRule type="containsText" dxfId="147" priority="1" operator="containsText" text="H">
      <formula>NOT(ISERROR(SEARCH("H",J45)))</formula>
    </cfRule>
    <cfRule type="containsText" dxfId="146" priority="2" operator="containsText" text="L">
      <formula>NOT(ISERROR(SEARCH("L",J45)))</formula>
    </cfRule>
  </conditionalFormatting>
  <dataValidations disablePrompts="1" count="1">
    <dataValidation type="list" allowBlank="1" showInputMessage="1" showErrorMessage="1" sqref="A51:D51" xr:uid="{C7042635-8ECD-4D8D-9749-D4721804D917}">
      <formula1>$A$60:$A$64</formula1>
    </dataValidation>
  </dataValidations>
  <pageMargins left="0.23622047244094488" right="0.23622047244094488" top="0.74803149606299213" bottom="0.74803149606299213" header="0.31496062992125984" footer="0.31496062992125984"/>
  <pageSetup paperSize="9" orientation="portrait" horizontalDpi="360" verticalDpi="360" r:id="rId1"/>
  <headerFooter>
    <oddFooter>&amp;RDOH-CHD7-CL-Form-9 Rev. 0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714CA-02DB-4656-A187-53DD663AA062}">
  <dimension ref="A1:K64"/>
  <sheetViews>
    <sheetView view="pageLayout" topLeftCell="A40" zoomScaleNormal="100" workbookViewId="0">
      <selection activeCell="A53" sqref="A53:D53"/>
    </sheetView>
  </sheetViews>
  <sheetFormatPr defaultRowHeight="14.4"/>
  <cols>
    <col min="1" max="2" width="9" customWidth="1"/>
    <col min="3" max="3" width="4.77734375" customWidth="1"/>
    <col min="4" max="4" width="11.88671875" customWidth="1"/>
    <col min="5" max="5" width="6.109375" customWidth="1"/>
    <col min="6" max="6" width="6.33203125" customWidth="1"/>
    <col min="7" max="7" width="14.44140625" customWidth="1"/>
    <col min="8" max="8" width="11.88671875" customWidth="1"/>
    <col min="9" max="9" width="7.21875" customWidth="1"/>
    <col min="10" max="10" width="6.33203125" customWidth="1"/>
    <col min="11" max="11" width="14.33203125" customWidth="1"/>
    <col min="12" max="12" width="9.6640625" bestFit="1" customWidth="1"/>
    <col min="14" max="14" width="9.6640625" bestFit="1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4.2" customHeight="1"/>
    <row r="9" spans="1:11" ht="14.1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2" customHeight="1" thickBot="1"/>
    <row r="11" spans="1:1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>
        <f>A12</f>
        <v>0</v>
      </c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4.9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3.4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4.9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0.54166666666666663</v>
      </c>
      <c r="I20" s="185"/>
      <c r="J20" s="199"/>
      <c r="K20" s="200"/>
    </row>
    <row r="21" spans="1:11">
      <c r="A21" s="192" t="s">
        <v>33</v>
      </c>
      <c r="B21" s="193"/>
      <c r="C21" s="193"/>
      <c r="D21" s="193"/>
      <c r="E21" s="193"/>
      <c r="F21" s="193"/>
      <c r="G21" s="193"/>
      <c r="H21" s="193"/>
      <c r="I21" s="193"/>
      <c r="J21" s="193"/>
      <c r="K21" s="194"/>
    </row>
    <row r="22" spans="1:11" ht="15" thickBot="1">
      <c r="A22" s="195"/>
      <c r="B22" s="196"/>
      <c r="C22" s="196"/>
      <c r="D22" s="196"/>
      <c r="E22" s="196"/>
      <c r="F22" s="196"/>
      <c r="G22" s="196"/>
      <c r="H22" s="196"/>
      <c r="I22" s="196"/>
      <c r="J22" s="196"/>
      <c r="K22" s="197"/>
    </row>
    <row r="23" spans="1:11" ht="12.6" customHeight="1" thickBot="1">
      <c r="A23" s="201"/>
      <c r="B23" s="202"/>
      <c r="C23" s="202"/>
      <c r="D23" s="202"/>
      <c r="E23" s="202"/>
      <c r="F23" s="202"/>
      <c r="G23" s="202"/>
      <c r="H23" s="202"/>
      <c r="I23" s="202"/>
      <c r="J23" s="202"/>
      <c r="K23" s="203"/>
    </row>
    <row r="24" spans="1:11" s="107" customFormat="1" ht="29.4" customHeight="1" thickBot="1">
      <c r="A24" s="204" t="s">
        <v>18</v>
      </c>
      <c r="B24" s="205"/>
      <c r="C24" s="206"/>
      <c r="D24" s="210" t="s">
        <v>9</v>
      </c>
      <c r="E24" s="211"/>
      <c r="F24" s="212" t="s">
        <v>24</v>
      </c>
      <c r="G24" s="214" t="s">
        <v>11</v>
      </c>
      <c r="H24" s="210" t="s">
        <v>9</v>
      </c>
      <c r="I24" s="211"/>
      <c r="J24" s="212" t="s">
        <v>24</v>
      </c>
      <c r="K24" s="214" t="s">
        <v>11</v>
      </c>
    </row>
    <row r="25" spans="1:11" ht="15" thickBot="1">
      <c r="A25" s="207"/>
      <c r="B25" s="208"/>
      <c r="C25" s="209"/>
      <c r="D25" s="216" t="s">
        <v>146</v>
      </c>
      <c r="E25" s="217"/>
      <c r="F25" s="213"/>
      <c r="G25" s="215"/>
      <c r="H25" s="216" t="s">
        <v>145</v>
      </c>
      <c r="I25" s="217"/>
      <c r="J25" s="213"/>
      <c r="K25" s="215"/>
    </row>
    <row r="26" spans="1:11" ht="7.2" customHeight="1">
      <c r="A26" s="16"/>
      <c r="C26" s="106"/>
      <c r="F26" s="36"/>
      <c r="G26" s="105"/>
      <c r="J26" s="9"/>
      <c r="K26" s="3"/>
    </row>
    <row r="27" spans="1:11">
      <c r="A27" s="104" t="s">
        <v>34</v>
      </c>
      <c r="B27" s="103"/>
      <c r="C27" s="93"/>
      <c r="D27" s="91">
        <f>H27/0.0554951033732318</f>
        <v>0</v>
      </c>
      <c r="E27" s="90" t="s">
        <v>98</v>
      </c>
      <c r="F27" s="89" t="str">
        <f>IF(D27&lt;60,"L",IF(D27&lt;=100,"",IF(D27&gt;100,"H")))</f>
        <v>L</v>
      </c>
      <c r="G27" s="102" t="s">
        <v>144</v>
      </c>
      <c r="H27" s="91"/>
      <c r="I27" s="90" t="s">
        <v>35</v>
      </c>
      <c r="J27" s="148" t="str">
        <f>IF(H27&lt;3.5,"L",IF(H27&lt;=5.5,"",IF(H27&gt;5.5,"H")))</f>
        <v>L</v>
      </c>
      <c r="K27" s="116" t="s">
        <v>36</v>
      </c>
    </row>
    <row r="28" spans="1:11">
      <c r="A28" s="70" t="s">
        <v>37</v>
      </c>
      <c r="B28" s="79"/>
      <c r="C28" s="78"/>
      <c r="D28" s="67">
        <f>H28/0.0554951033732318</f>
        <v>0</v>
      </c>
      <c r="E28" s="66" t="s">
        <v>98</v>
      </c>
      <c r="F28" s="75" t="str">
        <f>IF(D28&lt;200,"",IF(D28&gt;=200,"H"))</f>
        <v/>
      </c>
      <c r="G28" s="68" t="s">
        <v>143</v>
      </c>
      <c r="H28" s="67"/>
      <c r="I28" s="66" t="s">
        <v>35</v>
      </c>
      <c r="J28" s="113" t="str">
        <f>IF(H28&lt;11.1,"",IF(H28&gt;=11.1,"H"))</f>
        <v/>
      </c>
      <c r="K28" s="77" t="s">
        <v>142</v>
      </c>
    </row>
    <row r="29" spans="1:11">
      <c r="A29" s="100" t="s">
        <v>38</v>
      </c>
      <c r="B29" s="46"/>
      <c r="C29" s="115"/>
      <c r="D29" s="97"/>
      <c r="E29" s="52"/>
      <c r="F29" s="96"/>
      <c r="G29" s="98"/>
      <c r="H29" s="97"/>
      <c r="I29" s="52"/>
      <c r="J29" s="53"/>
      <c r="K29" s="114"/>
    </row>
    <row r="30" spans="1:11">
      <c r="A30" s="18"/>
      <c r="B30" s="94" t="s">
        <v>39</v>
      </c>
      <c r="C30" s="93"/>
      <c r="D30" s="91">
        <f>H30/0.0259997360432889</f>
        <v>0</v>
      </c>
      <c r="E30" s="90" t="s">
        <v>98</v>
      </c>
      <c r="F30" s="89" t="str">
        <f>IF(D30&lt;0,"L",IF(D30&lt;=200.77,"",IF(D30&gt;200.77,"H")))</f>
        <v/>
      </c>
      <c r="G30" s="92" t="s">
        <v>141</v>
      </c>
      <c r="H30" s="91"/>
      <c r="I30" s="90" t="s">
        <v>35</v>
      </c>
      <c r="J30" s="148" t="str">
        <f>IF(H30&lt;0,"L",IF(H30&lt;=5.2,"",IF(H30&gt;5.2,"H")))</f>
        <v/>
      </c>
      <c r="K30" s="88" t="s">
        <v>117</v>
      </c>
    </row>
    <row r="31" spans="1:11">
      <c r="A31" s="18"/>
      <c r="B31" s="220" t="s">
        <v>40</v>
      </c>
      <c r="C31" s="221"/>
      <c r="D31" s="67">
        <f>H31/0.0259997360432889</f>
        <v>0</v>
      </c>
      <c r="E31" s="110" t="s">
        <v>98</v>
      </c>
      <c r="F31" s="65" t="str">
        <f>IF(D31&lt;44.2,"L",IF(D31&gt;=44.2,""))</f>
        <v>L</v>
      </c>
      <c r="G31" s="68" t="s">
        <v>154</v>
      </c>
      <c r="H31" s="67"/>
      <c r="I31" s="110" t="s">
        <v>35</v>
      </c>
      <c r="J31" s="109" t="str">
        <f>IF(H31&lt;1.15,"L",IF(H31&gt;=1.15,""))</f>
        <v>L</v>
      </c>
      <c r="K31" s="77" t="s">
        <v>119</v>
      </c>
    </row>
    <row r="32" spans="1:11">
      <c r="A32" s="16"/>
      <c r="B32" s="220" t="s">
        <v>41</v>
      </c>
      <c r="C32" s="221"/>
      <c r="D32" s="67">
        <f>H32/0.0259997360432889</f>
        <v>0</v>
      </c>
      <c r="E32" s="66" t="s">
        <v>98</v>
      </c>
      <c r="F32" s="71" t="str">
        <f>IF(D32&lt;0,"L",IF(D32&lt;=99.6,"",IF(D32&gt;99.6,"H")))</f>
        <v/>
      </c>
      <c r="G32" s="73" t="s">
        <v>139</v>
      </c>
      <c r="H32" s="67"/>
      <c r="I32" s="66" t="s">
        <v>35</v>
      </c>
      <c r="J32" s="149" t="str">
        <f>IF(H32&lt;0,"L",IF(H32&lt;=2.59,"",IF(H32&gt;2.59,"H")))</f>
        <v/>
      </c>
      <c r="K32" s="87" t="s">
        <v>42</v>
      </c>
    </row>
    <row r="33" spans="1:11">
      <c r="A33" s="18"/>
      <c r="B33" s="220" t="s">
        <v>43</v>
      </c>
      <c r="C33" s="221"/>
      <c r="D33" s="67">
        <f>H33/0.0259997360432889</f>
        <v>0</v>
      </c>
      <c r="E33" s="66" t="s">
        <v>98</v>
      </c>
      <c r="F33" s="75" t="str">
        <f>IF(D33&lt;1.9,"L",IF(D33&lt;=30.76,"",IF(D33&gt;30.76,"H")))</f>
        <v>L</v>
      </c>
      <c r="G33" s="68" t="s">
        <v>138</v>
      </c>
      <c r="H33" s="67"/>
      <c r="I33" s="66" t="s">
        <v>35</v>
      </c>
      <c r="J33" s="150" t="str">
        <f>IF(H33&lt;0.05,"L",IF(H33&lt;=0.8,"",IF(H33&gt;0.8,"H")))</f>
        <v>L</v>
      </c>
      <c r="K33" s="77" t="s">
        <v>44</v>
      </c>
    </row>
    <row r="34" spans="1:11">
      <c r="A34" s="18"/>
      <c r="B34" s="69" t="s">
        <v>45</v>
      </c>
      <c r="C34" s="78"/>
      <c r="D34" s="84">
        <f>H34/0.0112997464447139</f>
        <v>0</v>
      </c>
      <c r="E34" s="110" t="s">
        <v>98</v>
      </c>
      <c r="F34" s="71" t="str">
        <f>IF(D34&lt;0,"L",IF(D34&lt;=203.54,"",IF(D34&gt;203.54,"H")))</f>
        <v/>
      </c>
      <c r="G34" s="73" t="s">
        <v>137</v>
      </c>
      <c r="H34" s="84"/>
      <c r="I34" s="110" t="s">
        <v>35</v>
      </c>
      <c r="J34" s="149" t="str">
        <f>IF(H34&lt;0,H37,IF(H34&lt;=2.3,"",IF(H34&gt;2.3,"H")))</f>
        <v/>
      </c>
      <c r="K34" s="87" t="s">
        <v>136</v>
      </c>
    </row>
    <row r="35" spans="1:11">
      <c r="A35" s="235" t="s">
        <v>46</v>
      </c>
      <c r="B35" s="236"/>
      <c r="C35" s="237"/>
      <c r="D35" s="67">
        <f>H35/88.8524590163934</f>
        <v>0</v>
      </c>
      <c r="E35" s="111" t="s">
        <v>98</v>
      </c>
      <c r="F35" s="112" t="str">
        <f>IF(D35&lt;0.5,"L",IF(D35&lt;=0.9,"",IF(D35&gt;0.9,"H")))</f>
        <v>L</v>
      </c>
      <c r="G35" s="102" t="s">
        <v>153</v>
      </c>
      <c r="H35" s="67"/>
      <c r="I35" s="111" t="s">
        <v>47</v>
      </c>
      <c r="J35" s="151" t="str">
        <f>IF(H35&lt;44,"L",IF(H35&lt;=80,"",IF(H35&gt;80,"H")))</f>
        <v>L</v>
      </c>
      <c r="K35" s="101" t="s">
        <v>152</v>
      </c>
    </row>
    <row r="36" spans="1:11">
      <c r="A36" s="222" t="s">
        <v>48</v>
      </c>
      <c r="B36" s="220"/>
      <c r="C36" s="221"/>
      <c r="D36" s="67">
        <f>H36/0.165970375996961</f>
        <v>0</v>
      </c>
      <c r="E36" s="66" t="s">
        <v>98</v>
      </c>
      <c r="F36" s="65" t="str">
        <f>IF(D36&lt;16.87,"L",IF(D36&lt;=43.37,"",IF(D36&gt;43.37,"H")))</f>
        <v>L</v>
      </c>
      <c r="G36" s="68" t="s">
        <v>133</v>
      </c>
      <c r="H36" s="67"/>
      <c r="I36" s="66" t="s">
        <v>35</v>
      </c>
      <c r="J36" s="109" t="str">
        <f>IF(H36&lt;2.8,"L",IF(H36&lt;=7.2,"",IF(H36&gt;7.2,"H")))</f>
        <v>L</v>
      </c>
      <c r="K36" s="77" t="s">
        <v>132</v>
      </c>
    </row>
    <row r="37" spans="1:11">
      <c r="A37" s="70" t="s">
        <v>49</v>
      </c>
      <c r="B37" s="79"/>
      <c r="C37" s="78"/>
      <c r="D37" s="67">
        <f>H37/59.5</f>
        <v>0</v>
      </c>
      <c r="E37" s="72" t="s">
        <v>98</v>
      </c>
      <c r="F37" s="75" t="str">
        <f>IF(D37&lt;2.3,"L",IF(D37&lt;=6.1,"",IF(D37&gt;6.1,"H")))</f>
        <v>L</v>
      </c>
      <c r="G37" s="68" t="s">
        <v>151</v>
      </c>
      <c r="H37" s="67"/>
      <c r="I37" s="72" t="s">
        <v>47</v>
      </c>
      <c r="J37" s="150" t="str">
        <f>IF(H37&lt;137,"L",IF(H37&lt;=363,"",IF(H37&gt;363,"H")))</f>
        <v>L</v>
      </c>
      <c r="K37" s="77" t="s">
        <v>150</v>
      </c>
    </row>
    <row r="38" spans="1:11">
      <c r="A38" s="222" t="s">
        <v>50</v>
      </c>
      <c r="B38" s="220"/>
      <c r="C38" s="221"/>
      <c r="D38" s="67">
        <f>H38</f>
        <v>0</v>
      </c>
      <c r="E38" s="66" t="s">
        <v>51</v>
      </c>
      <c r="F38" s="109" t="str">
        <f>IF(D38&lt;0,"L",IF(D38&lt;=34,"",IF(D38&gt;34,"H")))</f>
        <v/>
      </c>
      <c r="G38" s="147" t="s">
        <v>58</v>
      </c>
      <c r="H38" s="67"/>
      <c r="I38" s="66" t="s">
        <v>51</v>
      </c>
      <c r="J38" s="109" t="str">
        <f>IF(H38&lt;0,"L",IF(H38&lt;=34,"",IF(H38&gt;34,"H")))</f>
        <v/>
      </c>
      <c r="K38" s="64" t="s">
        <v>149</v>
      </c>
    </row>
    <row r="39" spans="1:11">
      <c r="A39" s="222" t="s">
        <v>52</v>
      </c>
      <c r="B39" s="220"/>
      <c r="C39" s="221"/>
      <c r="D39" s="67">
        <f>H39</f>
        <v>0</v>
      </c>
      <c r="E39" s="66" t="s">
        <v>51</v>
      </c>
      <c r="F39" s="109" t="str">
        <f>IF(D39&lt;0,"L",IF(D39&lt;=31,"",IF(D39&gt;31,"H")))</f>
        <v/>
      </c>
      <c r="G39" s="147" t="s">
        <v>59</v>
      </c>
      <c r="H39" s="67"/>
      <c r="I39" s="66" t="s">
        <v>51</v>
      </c>
      <c r="J39" s="109" t="str">
        <f>IF(H39&lt;0,"L",IF(H39&lt;=31,"",IF(H39&gt;31,"H")))</f>
        <v/>
      </c>
      <c r="K39" s="64" t="s">
        <v>148</v>
      </c>
    </row>
    <row r="40" spans="1:11">
      <c r="A40" s="70" t="s">
        <v>53</v>
      </c>
      <c r="B40" s="69"/>
      <c r="C40" s="74"/>
      <c r="D40" s="67">
        <f>H40/17.1</f>
        <v>0</v>
      </c>
      <c r="E40" s="72" t="s">
        <v>98</v>
      </c>
      <c r="F40" s="75" t="str">
        <f>IF(D40&lt;0.1,"L",IF(D40&lt;=1.2,"",IF(D40&gt;1.2,"H")))</f>
        <v>L</v>
      </c>
      <c r="G40" s="68" t="s">
        <v>125</v>
      </c>
      <c r="H40" s="67"/>
      <c r="I40" s="72" t="s">
        <v>47</v>
      </c>
      <c r="J40" s="150" t="str">
        <f>IF(H40&lt;2,"L",IF(H40&lt;=21,"",IF(H40&gt;21,"H")))</f>
        <v>L</v>
      </c>
      <c r="K40" s="64" t="s">
        <v>124</v>
      </c>
    </row>
    <row r="41" spans="1:11">
      <c r="A41" s="222" t="s">
        <v>54</v>
      </c>
      <c r="B41" s="220"/>
      <c r="C41" s="74"/>
      <c r="D41" s="67">
        <f>H41/17.1</f>
        <v>0</v>
      </c>
      <c r="E41" s="72" t="s">
        <v>98</v>
      </c>
      <c r="F41" s="71" t="str">
        <f>IF(D41&lt;0,"L",IF(D41&lt;=0.3,"",IF(D41&gt;0.3,"H")))</f>
        <v/>
      </c>
      <c r="G41" s="73" t="s">
        <v>123</v>
      </c>
      <c r="H41" s="67"/>
      <c r="I41" s="72" t="s">
        <v>47</v>
      </c>
      <c r="J41" s="149" t="str">
        <f>IF(H41&lt;0,"L",IF(H41&lt;=5.13,"",IF(H41&gt;5.13,"H")))</f>
        <v/>
      </c>
      <c r="K41" s="64" t="s">
        <v>56</v>
      </c>
    </row>
    <row r="42" spans="1:11">
      <c r="A42" s="223" t="s">
        <v>368</v>
      </c>
      <c r="B42" s="224"/>
      <c r="C42" s="225"/>
      <c r="D42" s="67">
        <f>H42/17.1</f>
        <v>0</v>
      </c>
      <c r="E42" s="72" t="s">
        <v>98</v>
      </c>
      <c r="F42" s="65" t="str">
        <f>IF(D42&lt;0.2,"L",IF(D42&lt;=1.2,"",IF(D42&gt;1.2,"H")))</f>
        <v>L</v>
      </c>
      <c r="G42" s="68" t="s">
        <v>369</v>
      </c>
      <c r="H42" s="67">
        <f>H40-H41</f>
        <v>0</v>
      </c>
      <c r="I42" s="72" t="s">
        <v>47</v>
      </c>
      <c r="J42" s="109" t="str">
        <f>IF(H42&lt;3.42,"L",IF(H42&lt;=20.52,"",IF(H42&gt;20.52,"H")))</f>
        <v>L</v>
      </c>
      <c r="K42" s="64" t="s">
        <v>370</v>
      </c>
    </row>
    <row r="43" spans="1:11">
      <c r="A43" s="70" t="s">
        <v>55</v>
      </c>
      <c r="B43" s="69"/>
      <c r="C43" s="117"/>
      <c r="D43" s="67">
        <f>H43</f>
        <v>0</v>
      </c>
      <c r="E43" s="66" t="s">
        <v>51</v>
      </c>
      <c r="F43" s="109" t="str">
        <f>IF(D43&lt;9,"L",IF(D43&lt;=39,"",IF(D43&gt;39,"H")))</f>
        <v>L</v>
      </c>
      <c r="G43" s="147" t="s">
        <v>60</v>
      </c>
      <c r="H43" s="67"/>
      <c r="I43" s="66" t="s">
        <v>51</v>
      </c>
      <c r="J43" s="109" t="str">
        <f>IF(H43&lt;9,"L",IF(H43&lt;=39,"",IF(H43&gt;39,"H")))</f>
        <v>L</v>
      </c>
      <c r="K43" s="64" t="s">
        <v>147</v>
      </c>
    </row>
    <row r="44" spans="1:11">
      <c r="A44" s="119" t="s">
        <v>162</v>
      </c>
      <c r="B44" s="63"/>
      <c r="C44" s="108"/>
      <c r="D44" s="60">
        <f>H44</f>
        <v>0</v>
      </c>
      <c r="E44" s="59" t="s">
        <v>51</v>
      </c>
      <c r="F44" s="58" t="str">
        <f>IF(D44&lt;30,"L",IF(D44&lt;=120,"",IF(D44&gt;120,"H")))</f>
        <v>L</v>
      </c>
      <c r="G44" s="61" t="s">
        <v>163</v>
      </c>
      <c r="H44" s="60"/>
      <c r="I44" s="59" t="s">
        <v>51</v>
      </c>
      <c r="J44" s="58" t="str">
        <f>IF(H44&lt;30,"L",IF(H44&lt;=120,"",IF(H44&gt;120,"H")))</f>
        <v>L</v>
      </c>
      <c r="K44" s="125" t="s">
        <v>163</v>
      </c>
    </row>
    <row r="45" spans="1:11">
      <c r="A45" s="119" t="s">
        <v>618</v>
      </c>
      <c r="B45" s="63"/>
      <c r="C45" s="108"/>
      <c r="D45" s="60">
        <f>(0.09148*H45)+2.152</f>
        <v>2.1520000000000001</v>
      </c>
      <c r="E45" s="59" t="s">
        <v>31</v>
      </c>
      <c r="F45" s="58" t="str">
        <f>IF(D45&lt;4.5,"L",IF(D45&lt;=6.5,"",IF(D45&gt;6.51,"H")))</f>
        <v>L</v>
      </c>
      <c r="G45" s="61" t="s">
        <v>619</v>
      </c>
      <c r="H45" s="60"/>
      <c r="I45" s="59" t="s">
        <v>620</v>
      </c>
      <c r="J45" s="58" t="str">
        <f>IF(H45&lt;25.67,"L",IF(H45&lt;=47.53,"",IF(H45&gt;47.53,"H")))</f>
        <v>L</v>
      </c>
      <c r="K45" s="125" t="s">
        <v>621</v>
      </c>
    </row>
    <row r="46" spans="1:11" ht="15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13" t="s">
        <v>13</v>
      </c>
      <c r="C47" s="229"/>
      <c r="D47" s="229"/>
      <c r="E47" s="229"/>
      <c r="F47" s="229"/>
      <c r="G47" s="229"/>
      <c r="H47" s="229"/>
      <c r="I47" s="229"/>
      <c r="J47" s="229"/>
      <c r="K47" s="229"/>
    </row>
    <row r="48" spans="1:11" ht="5.4" customHeight="1"/>
    <row r="49" spans="1:11">
      <c r="A49" s="14" t="s">
        <v>14</v>
      </c>
      <c r="E49" s="15" t="s">
        <v>16</v>
      </c>
      <c r="I49" s="15" t="s">
        <v>17</v>
      </c>
    </row>
    <row r="50" spans="1:11">
      <c r="I50" s="31"/>
    </row>
    <row r="51" spans="1:11">
      <c r="A51" s="218" t="s">
        <v>25</v>
      </c>
      <c r="B51" s="218"/>
      <c r="C51" s="218"/>
      <c r="D51" s="218"/>
      <c r="E51" s="218" t="s">
        <v>171</v>
      </c>
      <c r="F51" s="218"/>
      <c r="G51" s="218"/>
      <c r="H51" s="218"/>
      <c r="I51" s="219" t="s">
        <v>120</v>
      </c>
      <c r="J51" s="219"/>
      <c r="K51" s="219"/>
    </row>
    <row r="52" spans="1:11">
      <c r="A52" s="230" t="s">
        <v>15</v>
      </c>
      <c r="B52" s="230"/>
      <c r="C52" s="230"/>
      <c r="D52" s="230"/>
      <c r="E52" s="231" t="s">
        <v>172</v>
      </c>
      <c r="F52" s="231"/>
      <c r="G52" s="231"/>
      <c r="H52" s="231"/>
      <c r="I52" s="231" t="s">
        <v>113</v>
      </c>
      <c r="J52" s="231"/>
      <c r="K52" s="231"/>
    </row>
    <row r="53" spans="1:11">
      <c r="A53" s="231" t="str">
        <f>IF(A51=A60,"Lic. No. 0091946",IF(A51=A61,"Lic. No. 0068902",IF(A51=A62,"Lic. No. 0081395",IF(A51=A63,"Lic. No. 0054465",IF(A51=A64,"Lic. No. 0060939")))))</f>
        <v>Lic. No. 0068902</v>
      </c>
      <c r="B53" s="231"/>
      <c r="C53" s="231"/>
      <c r="D53" s="231"/>
      <c r="E53" s="231" t="s">
        <v>173</v>
      </c>
      <c r="F53" s="231"/>
      <c r="G53" s="231"/>
      <c r="H53" s="231"/>
      <c r="I53" s="231" t="s">
        <v>121</v>
      </c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60" spans="1:11">
      <c r="A60" s="33" t="s">
        <v>616</v>
      </c>
      <c r="B60" s="33" t="s">
        <v>617</v>
      </c>
    </row>
    <row r="61" spans="1:11">
      <c r="A61" s="34" t="s">
        <v>25</v>
      </c>
      <c r="B61" s="35" t="s">
        <v>26</v>
      </c>
    </row>
    <row r="62" spans="1:11">
      <c r="A62" s="34" t="s">
        <v>22</v>
      </c>
      <c r="B62" s="35" t="s">
        <v>23</v>
      </c>
    </row>
    <row r="63" spans="1:11">
      <c r="A63" t="s">
        <v>614</v>
      </c>
      <c r="B63" t="s">
        <v>615</v>
      </c>
    </row>
    <row r="64" spans="1:11">
      <c r="A64" t="s">
        <v>160</v>
      </c>
      <c r="B64" t="s">
        <v>161</v>
      </c>
    </row>
  </sheetData>
  <mergeCells count="58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A20:C20"/>
    <mergeCell ref="D20:E20"/>
    <mergeCell ref="F20:G20"/>
    <mergeCell ref="H20:I20"/>
    <mergeCell ref="J20:K20"/>
    <mergeCell ref="A21:K22"/>
    <mergeCell ref="A23:K23"/>
    <mergeCell ref="A24:C25"/>
    <mergeCell ref="D24:E24"/>
    <mergeCell ref="F24:F25"/>
    <mergeCell ref="G24:G25"/>
    <mergeCell ref="H24:I24"/>
    <mergeCell ref="J24:J25"/>
    <mergeCell ref="K24:K25"/>
    <mergeCell ref="D25:E25"/>
    <mergeCell ref="H25:I25"/>
    <mergeCell ref="B31:C31"/>
    <mergeCell ref="B32:C32"/>
    <mergeCell ref="B33:C33"/>
    <mergeCell ref="A35:C35"/>
    <mergeCell ref="A36:C36"/>
    <mergeCell ref="A38:C38"/>
    <mergeCell ref="A39:C39"/>
    <mergeCell ref="A41:B41"/>
    <mergeCell ref="A42:C42"/>
    <mergeCell ref="A46:K46"/>
    <mergeCell ref="A53:D53"/>
    <mergeCell ref="E53:H53"/>
    <mergeCell ref="I53:K53"/>
    <mergeCell ref="C47:K47"/>
    <mergeCell ref="A51:D51"/>
    <mergeCell ref="E51:H51"/>
    <mergeCell ref="I51:K51"/>
    <mergeCell ref="A52:D52"/>
    <mergeCell ref="E52:H52"/>
    <mergeCell ref="I52:K52"/>
  </mergeCells>
  <conditionalFormatting sqref="F26 F28:F29">
    <cfRule type="containsText" dxfId="145" priority="158" operator="containsText" text="H">
      <formula>NOT(ISERROR(SEARCH("H",F26)))</formula>
    </cfRule>
  </conditionalFormatting>
  <conditionalFormatting sqref="F26:F27">
    <cfRule type="containsText" dxfId="144" priority="20" operator="containsText" text="H">
      <formula>NOT(ISERROR(SEARCH("H",F26)))</formula>
    </cfRule>
  </conditionalFormatting>
  <conditionalFormatting sqref="F27">
    <cfRule type="containsText" dxfId="143" priority="18" operator="containsText" text="H">
      <formula>NOT(ISERROR(SEARCH("H",F27)))</formula>
    </cfRule>
    <cfRule type="containsText" dxfId="142" priority="19" operator="containsText" text="L">
      <formula>NOT(ISERROR(SEARCH("L",F27)))</formula>
    </cfRule>
  </conditionalFormatting>
  <conditionalFormatting sqref="F28:F29 F26">
    <cfRule type="containsText" dxfId="141" priority="157" operator="containsText" text="L">
      <formula>NOT(ISERROR(SEARCH("L",F26)))</formula>
    </cfRule>
  </conditionalFormatting>
  <conditionalFormatting sqref="F28:F30">
    <cfRule type="containsText" dxfId="140" priority="78" operator="containsText" text="H">
      <formula>NOT(ISERROR(SEARCH("H",F28)))</formula>
    </cfRule>
  </conditionalFormatting>
  <conditionalFormatting sqref="F30">
    <cfRule type="containsText" dxfId="139" priority="77" operator="containsText" text="L">
      <formula>NOT(ISERROR(SEARCH("L",F30)))</formula>
    </cfRule>
    <cfRule type="containsText" dxfId="138" priority="76" operator="containsText" text="H">
      <formula>NOT(ISERROR(SEARCH("H",F30)))</formula>
    </cfRule>
    <cfRule type="containsText" dxfId="137" priority="75" operator="containsText" text="L">
      <formula>NOT(ISERROR(SEARCH("L",F30)))</formula>
    </cfRule>
  </conditionalFormatting>
  <conditionalFormatting sqref="F30:F33">
    <cfRule type="containsText" dxfId="136" priority="74" operator="containsText" text="H">
      <formula>NOT(ISERROR(SEARCH("H",F30)))</formula>
    </cfRule>
  </conditionalFormatting>
  <conditionalFormatting sqref="F31">
    <cfRule type="containsText" dxfId="135" priority="70" operator="containsText" text="H">
      <formula>NOT(ISERROR(SEARCH("H",F31)))</formula>
    </cfRule>
    <cfRule type="containsText" dxfId="134" priority="73" operator="containsText" text="L">
      <formula>NOT(ISERROR(SEARCH("L",F31)))</formula>
    </cfRule>
    <cfRule type="containsText" dxfId="133" priority="72" operator="containsText" text="H">
      <formula>NOT(ISERROR(SEARCH("H",F31)))</formula>
    </cfRule>
    <cfRule type="containsText" dxfId="132" priority="71" operator="containsText" text="L">
      <formula>NOT(ISERROR(SEARCH("L",F31)))</formula>
    </cfRule>
  </conditionalFormatting>
  <conditionalFormatting sqref="F32:F33 F35:F37 F41">
    <cfRule type="containsText" dxfId="131" priority="80" operator="containsText" text="H">
      <formula>NOT(ISERROR(SEARCH("H",F32)))</formula>
    </cfRule>
    <cfRule type="containsText" dxfId="130" priority="79" operator="containsText" text="L">
      <formula>NOT(ISERROR(SEARCH("L",F32)))</formula>
    </cfRule>
  </conditionalFormatting>
  <conditionalFormatting sqref="F34">
    <cfRule type="containsText" dxfId="129" priority="67" operator="containsText" text="H">
      <formula>NOT(ISERROR(SEARCH("H",F34)))</formula>
    </cfRule>
    <cfRule type="containsText" dxfId="128" priority="66" operator="containsText" text="L">
      <formula>NOT(ISERROR(SEARCH("L",F34)))</formula>
    </cfRule>
    <cfRule type="containsText" dxfId="127" priority="65" operator="containsText" text="H">
      <formula>NOT(ISERROR(SEARCH("H",F34)))</formula>
    </cfRule>
    <cfRule type="containsText" dxfId="126" priority="68" operator="containsText" text="L">
      <formula>NOT(ISERROR(SEARCH("L",F34)))</formula>
    </cfRule>
  </conditionalFormatting>
  <conditionalFormatting sqref="F34:F37">
    <cfRule type="containsText" dxfId="125" priority="69" operator="containsText" text="H">
      <formula>NOT(ISERROR(SEARCH("H",F34)))</formula>
    </cfRule>
  </conditionalFormatting>
  <conditionalFormatting sqref="F38:F39">
    <cfRule type="containsText" dxfId="124" priority="60" operator="containsText" text="H">
      <formula>NOT(ISERROR(SEARCH("H",F38)))</formula>
    </cfRule>
    <cfRule type="containsText" dxfId="123" priority="61" operator="containsText" text="L">
      <formula>NOT(ISERROR(SEARCH("L",F38)))</formula>
    </cfRule>
    <cfRule type="containsText" dxfId="122" priority="59" operator="containsText" text="L">
      <formula>NOT(ISERROR(SEARCH("L",F38)))</formula>
    </cfRule>
    <cfRule type="containsText" dxfId="121" priority="58" operator="containsText" text="H">
      <formula>NOT(ISERROR(SEARCH("H",F38)))</formula>
    </cfRule>
  </conditionalFormatting>
  <conditionalFormatting sqref="F38:F40">
    <cfRule type="containsText" dxfId="120" priority="62" operator="containsText" text="H">
      <formula>NOT(ISERROR(SEARCH("H",F38)))</formula>
    </cfRule>
  </conditionalFormatting>
  <conditionalFormatting sqref="F40">
    <cfRule type="containsText" dxfId="119" priority="63" operator="containsText" text="L">
      <formula>NOT(ISERROR(SEARCH("L",F40)))</formula>
    </cfRule>
  </conditionalFormatting>
  <conditionalFormatting sqref="F40:F41">
    <cfRule type="containsText" dxfId="118" priority="64" operator="containsText" text="H">
      <formula>NOT(ISERROR(SEARCH("H",F40)))</formula>
    </cfRule>
  </conditionalFormatting>
  <conditionalFormatting sqref="F42">
    <cfRule type="containsText" dxfId="117" priority="46" operator="containsText" text="H">
      <formula>NOT(ISERROR(SEARCH("H",F42)))</formula>
    </cfRule>
    <cfRule type="containsText" dxfId="116" priority="47" operator="containsText" text="L">
      <formula>NOT(ISERROR(SEARCH("L",F42)))</formula>
    </cfRule>
    <cfRule type="containsText" dxfId="115" priority="48" operator="containsText" text="H">
      <formula>NOT(ISERROR(SEARCH("H",F42)))</formula>
    </cfRule>
    <cfRule type="containsText" dxfId="114" priority="49" operator="containsText" text="L">
      <formula>NOT(ISERROR(SEARCH("L",F42)))</formula>
    </cfRule>
    <cfRule type="containsText" dxfId="113" priority="50" operator="containsText" text="H">
      <formula>NOT(ISERROR(SEARCH("H",F42)))</formula>
    </cfRule>
  </conditionalFormatting>
  <conditionalFormatting sqref="F43">
    <cfRule type="containsText" dxfId="112" priority="54" operator="containsText" text="L">
      <formula>NOT(ISERROR(SEARCH("L",F43)))</formula>
    </cfRule>
    <cfRule type="containsText" dxfId="111" priority="55" operator="containsText" text="H">
      <formula>NOT(ISERROR(SEARCH("H",F43)))</formula>
    </cfRule>
    <cfRule type="containsText" dxfId="110" priority="56" operator="containsText" text="L">
      <formula>NOT(ISERROR(SEARCH("L",F43)))</formula>
    </cfRule>
    <cfRule type="containsText" dxfId="109" priority="57" operator="containsText" text="H">
      <formula>NOT(ISERROR(SEARCH("H",F43)))</formula>
    </cfRule>
  </conditionalFormatting>
  <conditionalFormatting sqref="F43:F44">
    <cfRule type="containsText" dxfId="108" priority="53" operator="containsText" text="H">
      <formula>NOT(ISERROR(SEARCH("H",F43)))</formula>
    </cfRule>
  </conditionalFormatting>
  <conditionalFormatting sqref="F44">
    <cfRule type="containsText" dxfId="107" priority="52" operator="containsText" text="L">
      <formula>NOT(ISERROR(SEARCH("L",F44)))</formula>
    </cfRule>
  </conditionalFormatting>
  <conditionalFormatting sqref="F44:F45">
    <cfRule type="containsText" dxfId="106" priority="6" operator="containsText" text="H">
      <formula>NOT(ISERROR(SEARCH("H",F44)))</formula>
    </cfRule>
  </conditionalFormatting>
  <conditionalFormatting sqref="F45">
    <cfRule type="containsText" dxfId="105" priority="4" operator="containsText" text="H">
      <formula>NOT(ISERROR(SEARCH("H",F45)))</formula>
    </cfRule>
    <cfRule type="containsText" dxfId="104" priority="5" operator="containsText" text="L">
      <formula>NOT(ISERROR(SEARCH("L",F45)))</formula>
    </cfRule>
  </conditionalFormatting>
  <conditionalFormatting sqref="J27">
    <cfRule type="containsText" dxfId="103" priority="13" operator="containsText" text="H">
      <formula>NOT(ISERROR(SEARCH("H",J27)))</formula>
    </cfRule>
    <cfRule type="containsText" dxfId="102" priority="14" operator="containsText" text="L">
      <formula>NOT(ISERROR(SEARCH("L",J27)))</formula>
    </cfRule>
    <cfRule type="containsText" dxfId="101" priority="15" operator="containsText" text="H">
      <formula>NOT(ISERROR(SEARCH("H",J27)))</formula>
    </cfRule>
    <cfRule type="containsText" dxfId="100" priority="16" operator="containsText" text="L">
      <formula>NOT(ISERROR(SEARCH("L",J27)))</formula>
    </cfRule>
  </conditionalFormatting>
  <conditionalFormatting sqref="J27:J28">
    <cfRule type="containsText" dxfId="99" priority="17" operator="containsText" text="H">
      <formula>NOT(ISERROR(SEARCH("H",J27)))</formula>
    </cfRule>
  </conditionalFormatting>
  <conditionalFormatting sqref="J28">
    <cfRule type="containsText" dxfId="98" priority="100" operator="containsText" text="L">
      <formula>NOT(ISERROR(SEARCH("L",J28)))</formula>
    </cfRule>
    <cfRule type="containsText" dxfId="97" priority="99" operator="containsText" text="H">
      <formula>NOT(ISERROR(SEARCH("H",J28)))</formula>
    </cfRule>
    <cfRule type="containsText" dxfId="96" priority="98" operator="containsText" text="L">
      <formula>NOT(ISERROR(SEARCH("L",J28)))</formula>
    </cfRule>
  </conditionalFormatting>
  <conditionalFormatting sqref="J28:J29">
    <cfRule type="containsText" dxfId="95" priority="101" operator="containsText" text="H">
      <formula>NOT(ISERROR(SEARCH("H",J28)))</formula>
    </cfRule>
  </conditionalFormatting>
  <conditionalFormatting sqref="J29">
    <cfRule type="containsText" dxfId="94" priority="134" operator="containsText" text="H">
      <formula>NOT(ISERROR(SEARCH("H",J29)))</formula>
    </cfRule>
    <cfRule type="containsText" dxfId="93" priority="131" operator="containsText" text="L">
      <formula>NOT(ISERROR(SEARCH("L",J29)))</formula>
    </cfRule>
    <cfRule type="containsText" dxfId="92" priority="135" operator="containsText" text="L">
      <formula>NOT(ISERROR(SEARCH("L",J29)))</formula>
    </cfRule>
    <cfRule type="containsText" dxfId="91" priority="136" operator="containsText" text="H">
      <formula>NOT(ISERROR(SEARCH("H",J29)))</formula>
    </cfRule>
  </conditionalFormatting>
  <conditionalFormatting sqref="J30:J39">
    <cfRule type="containsText" dxfId="90" priority="39" operator="containsText" text="H">
      <formula>NOT(ISERROR(SEARCH("H",J30)))</formula>
    </cfRule>
    <cfRule type="containsText" dxfId="89" priority="41" operator="containsText" text="H">
      <formula>NOT(ISERROR(SEARCH("H",J30)))</formula>
    </cfRule>
    <cfRule type="containsText" dxfId="88" priority="40" operator="containsText" text="L">
      <formula>NOT(ISERROR(SEARCH("L",J30)))</formula>
    </cfRule>
    <cfRule type="containsText" dxfId="87" priority="38" operator="containsText" text="L">
      <formula>NOT(ISERROR(SEARCH("L",J30)))</formula>
    </cfRule>
  </conditionalFormatting>
  <conditionalFormatting sqref="J30:J41">
    <cfRule type="containsText" dxfId="86" priority="37" operator="containsText" text="H">
      <formula>NOT(ISERROR(SEARCH("H",J30)))</formula>
    </cfRule>
  </conditionalFormatting>
  <conditionalFormatting sqref="J40">
    <cfRule type="containsText" dxfId="85" priority="34" operator="containsText" text="L">
      <formula>NOT(ISERROR(SEARCH("L",J40)))</formula>
    </cfRule>
    <cfRule type="containsText" dxfId="84" priority="33" operator="containsText" text="H">
      <formula>NOT(ISERROR(SEARCH("H",J40)))</formula>
    </cfRule>
    <cfRule type="containsText" dxfId="83" priority="36" operator="containsText" text="L">
      <formula>NOT(ISERROR(SEARCH("L",J40)))</formula>
    </cfRule>
    <cfRule type="containsText" dxfId="82" priority="35" operator="containsText" text="H">
      <formula>NOT(ISERROR(SEARCH("H",J40)))</formula>
    </cfRule>
  </conditionalFormatting>
  <conditionalFormatting sqref="J41">
    <cfRule type="containsText" dxfId="81" priority="42" operator="containsText" text="L">
      <formula>NOT(ISERROR(SEARCH("L",J41)))</formula>
    </cfRule>
    <cfRule type="containsText" dxfId="80" priority="43" operator="containsText" text="H">
      <formula>NOT(ISERROR(SEARCH("H",J41)))</formula>
    </cfRule>
    <cfRule type="containsText" dxfId="79" priority="44" operator="containsText" text="L">
      <formula>NOT(ISERROR(SEARCH("L",J41)))</formula>
    </cfRule>
    <cfRule type="containsText" dxfId="78" priority="45" operator="containsText" text="H">
      <formula>NOT(ISERROR(SEARCH("H",J41)))</formula>
    </cfRule>
  </conditionalFormatting>
  <conditionalFormatting sqref="J42">
    <cfRule type="containsText" dxfId="77" priority="25" operator="containsText" text="H">
      <formula>NOT(ISERROR(SEARCH("H",J42)))</formula>
    </cfRule>
    <cfRule type="containsText" dxfId="76" priority="23" operator="containsText" text="H">
      <formula>NOT(ISERROR(SEARCH("H",J42)))</formula>
    </cfRule>
    <cfRule type="containsText" dxfId="75" priority="24" operator="containsText" text="L">
      <formula>NOT(ISERROR(SEARCH("L",J42)))</formula>
    </cfRule>
    <cfRule type="containsText" dxfId="74" priority="22" operator="containsText" text="L">
      <formula>NOT(ISERROR(SEARCH("L",J42)))</formula>
    </cfRule>
    <cfRule type="containsText" dxfId="73" priority="21" operator="containsText" text="H">
      <formula>NOT(ISERROR(SEARCH("H",J42)))</formula>
    </cfRule>
  </conditionalFormatting>
  <conditionalFormatting sqref="J43">
    <cfRule type="containsText" dxfId="72" priority="32" operator="containsText" text="H">
      <formula>NOT(ISERROR(SEARCH("H",J43)))</formula>
    </cfRule>
    <cfRule type="containsText" dxfId="71" priority="31" operator="containsText" text="L">
      <formula>NOT(ISERROR(SEARCH("L",J43)))</formula>
    </cfRule>
    <cfRule type="containsText" dxfId="70" priority="30" operator="containsText" text="H">
      <formula>NOT(ISERROR(SEARCH("H",J43)))</formula>
    </cfRule>
    <cfRule type="containsText" dxfId="69" priority="29" operator="containsText" text="L">
      <formula>NOT(ISERROR(SEARCH("L",J43)))</formula>
    </cfRule>
  </conditionalFormatting>
  <conditionalFormatting sqref="J43:J44">
    <cfRule type="containsText" dxfId="68" priority="28" operator="containsText" text="H">
      <formula>NOT(ISERROR(SEARCH("H",J43)))</formula>
    </cfRule>
  </conditionalFormatting>
  <conditionalFormatting sqref="J44">
    <cfRule type="containsText" dxfId="67" priority="27" operator="containsText" text="L">
      <formula>NOT(ISERROR(SEARCH("L",J44)))</formula>
    </cfRule>
  </conditionalFormatting>
  <conditionalFormatting sqref="J44:J45">
    <cfRule type="containsText" dxfId="66" priority="3" operator="containsText" text="H">
      <formula>NOT(ISERROR(SEARCH("H",J44)))</formula>
    </cfRule>
  </conditionalFormatting>
  <conditionalFormatting sqref="J45">
    <cfRule type="containsText" dxfId="65" priority="1" operator="containsText" text="H">
      <formula>NOT(ISERROR(SEARCH("H",J45)))</formula>
    </cfRule>
    <cfRule type="containsText" dxfId="64" priority="2" operator="containsText" text="L">
      <formula>NOT(ISERROR(SEARCH("L",J45)))</formula>
    </cfRule>
  </conditionalFormatting>
  <dataValidations count="1">
    <dataValidation type="list" allowBlank="1" showInputMessage="1" showErrorMessage="1" sqref="A51:D51" xr:uid="{74BF64DC-6DC1-460A-A163-3E1C16AFDA43}">
      <formula1>$A$60:$A$64</formula1>
    </dataValidation>
  </dataValidations>
  <pageMargins left="0.23622047244094488" right="0.23622047244094488" top="0.74803149606299213" bottom="0.74803149606299213" header="0.31496062992125984" footer="0.31496062992125984"/>
  <pageSetup paperSize="9" orientation="portrait" horizontalDpi="360" verticalDpi="360" r:id="rId1"/>
  <headerFooter>
    <oddFooter>&amp;RDOH-CHD7-CL-Form-9 Rev. 0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C69DB-7461-4585-A196-AC6F2A042328}">
  <sheetPr>
    <pageSetUpPr fitToPage="1"/>
  </sheetPr>
  <dimension ref="A1:K59"/>
  <sheetViews>
    <sheetView tabSelected="1" view="pageLayout" topLeftCell="A5" zoomScaleNormal="100" workbookViewId="0">
      <selection activeCell="A41" sqref="A41:D41"/>
    </sheetView>
  </sheetViews>
  <sheetFormatPr defaultRowHeight="14.4"/>
  <cols>
    <col min="1" max="2" width="9" customWidth="1"/>
    <col min="3" max="3" width="4.77734375" customWidth="1"/>
    <col min="4" max="4" width="11.88671875" customWidth="1"/>
    <col min="5" max="5" width="6.109375" customWidth="1"/>
    <col min="6" max="6" width="6.33203125" customWidth="1"/>
    <col min="7" max="7" width="14.44140625" customWidth="1"/>
    <col min="8" max="8" width="11.88671875" customWidth="1"/>
    <col min="9" max="9" width="7.21875" customWidth="1"/>
    <col min="10" max="10" width="6.33203125" customWidth="1"/>
    <col min="11" max="11" width="14.33203125" customWidth="1"/>
    <col min="12" max="12" width="9.6640625" bestFit="1" customWidth="1"/>
    <col min="14" max="14" width="9.6640625" bestFit="1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4.95" customHeight="1"/>
    <row r="9" spans="1:11" ht="20.399999999999999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95" customHeight="1" thickBot="1"/>
    <row r="11" spans="1:1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4.9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3.4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4.9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0.54166666666666663</v>
      </c>
      <c r="I20" s="185"/>
      <c r="J20" s="199"/>
      <c r="K20" s="200"/>
    </row>
    <row r="21" spans="1:11">
      <c r="A21" s="192" t="s">
        <v>33</v>
      </c>
      <c r="B21" s="193"/>
      <c r="C21" s="193"/>
      <c r="D21" s="193"/>
      <c r="E21" s="193"/>
      <c r="F21" s="193"/>
      <c r="G21" s="193"/>
      <c r="H21" s="193"/>
      <c r="I21" s="193"/>
      <c r="J21" s="193"/>
      <c r="K21" s="194"/>
    </row>
    <row r="22" spans="1:11" ht="15" thickBot="1">
      <c r="A22" s="195"/>
      <c r="B22" s="196"/>
      <c r="C22" s="196"/>
      <c r="D22" s="196"/>
      <c r="E22" s="196"/>
      <c r="F22" s="196"/>
      <c r="G22" s="196"/>
      <c r="H22" s="196"/>
      <c r="I22" s="196"/>
      <c r="J22" s="196"/>
      <c r="K22" s="197"/>
    </row>
    <row r="23" spans="1:11" ht="12.6" customHeight="1" thickBot="1">
      <c r="A23" s="201"/>
      <c r="B23" s="202"/>
      <c r="C23" s="202"/>
      <c r="D23" s="202"/>
      <c r="E23" s="202"/>
      <c r="F23" s="202"/>
      <c r="G23" s="202"/>
      <c r="H23" s="202"/>
      <c r="I23" s="202"/>
      <c r="J23" s="202"/>
      <c r="K23" s="203"/>
    </row>
    <row r="24" spans="1:11" s="107" customFormat="1" ht="29.4" customHeight="1" thickBot="1">
      <c r="A24" s="204" t="s">
        <v>18</v>
      </c>
      <c r="B24" s="205"/>
      <c r="C24" s="206"/>
      <c r="D24" s="210" t="s">
        <v>9</v>
      </c>
      <c r="E24" s="211"/>
      <c r="F24" s="212" t="s">
        <v>24</v>
      </c>
      <c r="G24" s="214" t="s">
        <v>11</v>
      </c>
      <c r="H24" s="210" t="s">
        <v>9</v>
      </c>
      <c r="I24" s="211"/>
      <c r="J24" s="212" t="s">
        <v>24</v>
      </c>
      <c r="K24" s="214" t="s">
        <v>11</v>
      </c>
    </row>
    <row r="25" spans="1:11" ht="15" thickBot="1">
      <c r="A25" s="207"/>
      <c r="B25" s="208"/>
      <c r="C25" s="209"/>
      <c r="D25" s="216" t="s">
        <v>146</v>
      </c>
      <c r="E25" s="217"/>
      <c r="F25" s="213"/>
      <c r="G25" s="215"/>
      <c r="H25" s="216" t="s">
        <v>145</v>
      </c>
      <c r="I25" s="217"/>
      <c r="J25" s="213"/>
      <c r="K25" s="215"/>
    </row>
    <row r="26" spans="1:11" ht="7.2" customHeight="1">
      <c r="A26" s="16"/>
      <c r="C26" s="106"/>
      <c r="F26" s="36"/>
      <c r="G26" s="105"/>
      <c r="J26" s="9"/>
      <c r="K26" s="3"/>
    </row>
    <row r="27" spans="1:11" ht="15.6" customHeight="1">
      <c r="A27" s="238" t="s">
        <v>629</v>
      </c>
      <c r="B27" s="239"/>
      <c r="C27" s="240"/>
      <c r="F27" s="36"/>
      <c r="G27" s="106"/>
      <c r="J27" s="9"/>
      <c r="K27" s="5"/>
    </row>
    <row r="28" spans="1:11">
      <c r="A28" s="104" t="s">
        <v>34</v>
      </c>
      <c r="B28" s="103"/>
      <c r="C28" s="93"/>
      <c r="D28" s="91">
        <f>H28/0.0554951033732318</f>
        <v>0</v>
      </c>
      <c r="E28" s="90" t="s">
        <v>98</v>
      </c>
      <c r="F28" s="89" t="str">
        <f>IF(D28&lt;60,"L",IF(D28&lt;=100,"",IF(D28&gt;100,"H")))</f>
        <v>L</v>
      </c>
      <c r="G28" s="102" t="s">
        <v>144</v>
      </c>
      <c r="H28" s="91"/>
      <c r="I28" s="90" t="s">
        <v>35</v>
      </c>
      <c r="J28" s="148" t="str">
        <f>IF(H28&lt;3.5,"L",IF(H28&lt;=5.5,"",IF(H28&gt;5.5,"H")))</f>
        <v>L</v>
      </c>
      <c r="K28" s="101" t="s">
        <v>36</v>
      </c>
    </row>
    <row r="29" spans="1:11">
      <c r="A29" s="104" t="s">
        <v>628</v>
      </c>
      <c r="B29" s="103"/>
      <c r="C29" s="93"/>
      <c r="D29" s="91">
        <f>H29/0.0554951033732318</f>
        <v>0</v>
      </c>
      <c r="E29" s="90" t="s">
        <v>98</v>
      </c>
      <c r="F29" s="148" t="str">
        <f>IF(D29&lt;180,"",IF(D29&gt;=180,"H"))</f>
        <v/>
      </c>
      <c r="G29" s="102" t="s">
        <v>627</v>
      </c>
      <c r="H29" s="91"/>
      <c r="I29" s="90" t="s">
        <v>35</v>
      </c>
      <c r="J29" s="148" t="str">
        <f>IF(H29&lt;10,"",IF(H29&gt;=10,"H"))</f>
        <v/>
      </c>
      <c r="K29" s="101" t="s">
        <v>626</v>
      </c>
    </row>
    <row r="30" spans="1:11">
      <c r="A30" s="119" t="s">
        <v>625</v>
      </c>
      <c r="B30" s="173"/>
      <c r="C30" s="172"/>
      <c r="D30" s="121">
        <f>H30/0.0554951033732318</f>
        <v>0</v>
      </c>
      <c r="E30" s="122" t="s">
        <v>98</v>
      </c>
      <c r="F30" s="171" t="str">
        <f>IF(D30&lt;153,"",IF(D30&gt;=153,"H"))</f>
        <v/>
      </c>
      <c r="G30" s="124" t="s">
        <v>624</v>
      </c>
      <c r="H30" s="121"/>
      <c r="I30" s="122" t="s">
        <v>35</v>
      </c>
      <c r="J30" s="171" t="str">
        <f>IF(H30&lt;8.5,"",IF(H30&gt;=8.5,"H"))</f>
        <v/>
      </c>
      <c r="K30" s="125" t="s">
        <v>623</v>
      </c>
    </row>
    <row r="31" spans="1:11">
      <c r="A31" s="119" t="s">
        <v>618</v>
      </c>
      <c r="B31" s="63"/>
      <c r="C31" s="108"/>
      <c r="D31" s="60">
        <f>(0.09148*H31)+2.152</f>
        <v>2.1520000000000001</v>
      </c>
      <c r="E31" s="59" t="s">
        <v>31</v>
      </c>
      <c r="F31" s="58" t="str">
        <f>IF(D31&lt;4.5,"L",IF(D31&lt;=6.5,"",IF(D31&gt;6.51,"H")))</f>
        <v>L</v>
      </c>
      <c r="G31" s="61" t="s">
        <v>619</v>
      </c>
      <c r="H31" s="60"/>
      <c r="I31" s="59" t="s">
        <v>620</v>
      </c>
      <c r="J31" s="58" t="str">
        <f>IF(H31&lt;25.67,"L",IF(H31&lt;=47.53,"",IF(H31&gt;47.53,"H")))</f>
        <v>L</v>
      </c>
      <c r="K31" s="125" t="s">
        <v>621</v>
      </c>
    </row>
    <row r="32" spans="1:11" ht="15" thickBot="1">
      <c r="A32" s="232" t="s">
        <v>12</v>
      </c>
      <c r="B32" s="233"/>
      <c r="C32" s="233"/>
      <c r="D32" s="233"/>
      <c r="E32" s="233"/>
      <c r="F32" s="233"/>
      <c r="G32" s="233"/>
      <c r="H32" s="233"/>
      <c r="I32" s="233"/>
      <c r="J32" s="233"/>
      <c r="K32" s="234"/>
    </row>
    <row r="33" spans="1:11">
      <c r="A33" s="13" t="s">
        <v>13</v>
      </c>
      <c r="C33" s="229" t="s">
        <v>622</v>
      </c>
      <c r="D33" s="229"/>
      <c r="E33" s="229"/>
      <c r="F33" s="229"/>
      <c r="G33" s="229"/>
      <c r="H33" s="229"/>
      <c r="I33" s="229"/>
      <c r="J33" s="229"/>
      <c r="K33" s="229"/>
    </row>
    <row r="34" spans="1:11" ht="9" customHeight="1"/>
    <row r="35" spans="1:11">
      <c r="A35" s="14" t="s">
        <v>14</v>
      </c>
      <c r="E35" s="15" t="s">
        <v>16</v>
      </c>
      <c r="I35" s="15" t="s">
        <v>17</v>
      </c>
    </row>
    <row r="36" spans="1:11">
      <c r="A36" s="14"/>
      <c r="E36" s="15"/>
      <c r="I36" s="15"/>
    </row>
    <row r="37" spans="1:11">
      <c r="A37" s="14"/>
      <c r="E37" s="15"/>
      <c r="I37" s="15"/>
    </row>
    <row r="38" spans="1:11">
      <c r="I38" s="31"/>
    </row>
    <row r="39" spans="1:11">
      <c r="A39" s="218" t="s">
        <v>25</v>
      </c>
      <c r="B39" s="218"/>
      <c r="C39" s="218"/>
      <c r="D39" s="218"/>
      <c r="E39" s="218" t="s">
        <v>171</v>
      </c>
      <c r="F39" s="218"/>
      <c r="G39" s="218"/>
      <c r="H39" s="218"/>
      <c r="I39" s="219" t="s">
        <v>120</v>
      </c>
      <c r="J39" s="219"/>
      <c r="K39" s="219"/>
    </row>
    <row r="40" spans="1:11">
      <c r="A40" s="230" t="s">
        <v>15</v>
      </c>
      <c r="B40" s="230"/>
      <c r="C40" s="230"/>
      <c r="D40" s="230"/>
      <c r="E40" s="231" t="s">
        <v>172</v>
      </c>
      <c r="F40" s="231"/>
      <c r="G40" s="231"/>
      <c r="H40" s="231"/>
      <c r="I40" s="231" t="s">
        <v>113</v>
      </c>
      <c r="J40" s="231"/>
      <c r="K40" s="231"/>
    </row>
    <row r="41" spans="1:11">
      <c r="A41" s="231" t="str">
        <f>IF(A39=A55,"Lic. No. 0091946",IF(A39=A56,"Lic. No. 0068902",IF(A39=A57,"Lic. No. 0081395",IF(A39=A58,"Lic. No. 0054465",IF(A39=A59,"Lic. No. 0060939")))))</f>
        <v>Lic. No. 0068902</v>
      </c>
      <c r="B41" s="231"/>
      <c r="C41" s="231"/>
      <c r="D41" s="231"/>
      <c r="E41" s="231" t="s">
        <v>173</v>
      </c>
      <c r="F41" s="231"/>
      <c r="G41" s="231"/>
      <c r="H41" s="231"/>
      <c r="I41" s="231" t="s">
        <v>121</v>
      </c>
      <c r="J41" s="231"/>
      <c r="K41" s="231"/>
    </row>
    <row r="43" spans="1:11">
      <c r="A43" s="32"/>
      <c r="B43" s="32"/>
      <c r="C43" s="32"/>
      <c r="D43" s="32"/>
    </row>
    <row r="44" spans="1:11">
      <c r="C44" s="32"/>
      <c r="D44" s="32"/>
    </row>
    <row r="45" spans="1:11">
      <c r="C45" s="32"/>
      <c r="D45" s="32"/>
    </row>
    <row r="46" spans="1:11">
      <c r="C46" s="32"/>
      <c r="D46" s="32"/>
    </row>
    <row r="47" spans="1:11">
      <c r="C47" s="32"/>
      <c r="D47" s="32"/>
    </row>
    <row r="48" spans="1:11">
      <c r="C48" s="32"/>
      <c r="D48" s="32"/>
    </row>
    <row r="49" spans="1:4">
      <c r="C49" s="32"/>
      <c r="D49" s="32"/>
    </row>
    <row r="50" spans="1:4">
      <c r="C50" s="32"/>
      <c r="D50" s="32"/>
    </row>
    <row r="51" spans="1:4">
      <c r="C51" s="32"/>
      <c r="D51" s="32"/>
    </row>
    <row r="52" spans="1:4" ht="14.4" customHeight="1">
      <c r="C52" s="32"/>
      <c r="D52" s="32"/>
    </row>
    <row r="55" spans="1:4">
      <c r="A55" s="33" t="s">
        <v>616</v>
      </c>
      <c r="B55" s="33" t="s">
        <v>617</v>
      </c>
    </row>
    <row r="56" spans="1:4">
      <c r="A56" s="34" t="s">
        <v>25</v>
      </c>
      <c r="B56" s="35" t="s">
        <v>26</v>
      </c>
    </row>
    <row r="57" spans="1:4">
      <c r="A57" s="34" t="s">
        <v>22</v>
      </c>
      <c r="B57" s="35" t="s">
        <v>23</v>
      </c>
    </row>
    <row r="58" spans="1:4">
      <c r="A58" t="s">
        <v>614</v>
      </c>
      <c r="B58" t="s">
        <v>615</v>
      </c>
    </row>
    <row r="59" spans="1:4">
      <c r="A59" t="s">
        <v>160</v>
      </c>
      <c r="B59" t="s">
        <v>161</v>
      </c>
    </row>
  </sheetData>
  <mergeCells count="50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A20:C20"/>
    <mergeCell ref="D20:E20"/>
    <mergeCell ref="F20:G20"/>
    <mergeCell ref="H20:I20"/>
    <mergeCell ref="J20:K20"/>
    <mergeCell ref="A21:K22"/>
    <mergeCell ref="A23:K23"/>
    <mergeCell ref="A24:C25"/>
    <mergeCell ref="D24:E24"/>
    <mergeCell ref="F24:F25"/>
    <mergeCell ref="G24:G25"/>
    <mergeCell ref="H24:I24"/>
    <mergeCell ref="J24:J25"/>
    <mergeCell ref="K24:K25"/>
    <mergeCell ref="D25:E25"/>
    <mergeCell ref="H25:I25"/>
    <mergeCell ref="A27:C27"/>
    <mergeCell ref="A32:K32"/>
    <mergeCell ref="C33:K33"/>
    <mergeCell ref="A39:D39"/>
    <mergeCell ref="E39:H39"/>
    <mergeCell ref="I39:K39"/>
    <mergeCell ref="A40:D40"/>
    <mergeCell ref="E40:H40"/>
    <mergeCell ref="I40:K40"/>
    <mergeCell ref="A41:D41"/>
    <mergeCell ref="E41:H41"/>
    <mergeCell ref="I41:K41"/>
  </mergeCells>
  <conditionalFormatting sqref="F26:F28">
    <cfRule type="containsText" dxfId="63" priority="17" operator="containsText" text="L">
      <formula>NOT(ISERROR(SEARCH("L",F26)))</formula>
    </cfRule>
    <cfRule type="containsText" dxfId="62" priority="18" operator="containsText" text="H">
      <formula>NOT(ISERROR(SEARCH("H",F26)))</formula>
    </cfRule>
  </conditionalFormatting>
  <conditionalFormatting sqref="F27:F30">
    <cfRule type="containsText" dxfId="61" priority="11" operator="containsText" text="H">
      <formula>NOT(ISERROR(SEARCH("H",F27)))</formula>
    </cfRule>
  </conditionalFormatting>
  <conditionalFormatting sqref="F28">
    <cfRule type="containsText" dxfId="60" priority="23" operator="containsText" text="L">
      <formula>NOT(ISERROR(SEARCH("L",F28)))</formula>
    </cfRule>
    <cfRule type="containsText" dxfId="59" priority="26" operator="containsText" text="H">
      <formula>NOT(ISERROR(SEARCH("H",F28)))</formula>
    </cfRule>
  </conditionalFormatting>
  <conditionalFormatting sqref="F29:F30">
    <cfRule type="containsText" dxfId="58" priority="8" operator="containsText" text="L">
      <formula>NOT(ISERROR(SEARCH("L",F29)))</formula>
    </cfRule>
    <cfRule type="containsText" dxfId="57" priority="9" operator="containsText" text="H">
      <formula>NOT(ISERROR(SEARCH("H",F29)))</formula>
    </cfRule>
    <cfRule type="containsText" dxfId="56" priority="10" operator="containsText" text="L">
      <formula>NOT(ISERROR(SEARCH("L",F29)))</formula>
    </cfRule>
  </conditionalFormatting>
  <conditionalFormatting sqref="F29:F31">
    <cfRule type="containsText" dxfId="55" priority="6" operator="containsText" text="H">
      <formula>NOT(ISERROR(SEARCH("H",F29)))</formula>
    </cfRule>
  </conditionalFormatting>
  <conditionalFormatting sqref="F31">
    <cfRule type="containsText" dxfId="54" priority="4" operator="containsText" text="H">
      <formula>NOT(ISERROR(SEARCH("H",F31)))</formula>
    </cfRule>
    <cfRule type="containsText" dxfId="53" priority="5" operator="containsText" text="L">
      <formula>NOT(ISERROR(SEARCH("L",F31)))</formula>
    </cfRule>
  </conditionalFormatting>
  <conditionalFormatting sqref="J28">
    <cfRule type="containsText" dxfId="52" priority="19" operator="containsText" text="L">
      <formula>NOT(ISERROR(SEARCH("L",J28)))</formula>
    </cfRule>
    <cfRule type="containsText" dxfId="51" priority="20" operator="containsText" text="H">
      <formula>NOT(ISERROR(SEARCH("H",J28)))</formula>
    </cfRule>
    <cfRule type="containsText" dxfId="50" priority="21" operator="containsText" text="L">
      <formula>NOT(ISERROR(SEARCH("L",J28)))</formula>
    </cfRule>
    <cfRule type="containsText" dxfId="49" priority="22" operator="containsText" text="H">
      <formula>NOT(ISERROR(SEARCH("H",J28)))</formula>
    </cfRule>
  </conditionalFormatting>
  <conditionalFormatting sqref="J28:J30">
    <cfRule type="containsText" dxfId="48" priority="13" operator="containsText" text="L">
      <formula>NOT(ISERROR(SEARCH("L",J28)))</formula>
    </cfRule>
    <cfRule type="containsText" dxfId="47" priority="14" operator="containsText" text="H">
      <formula>NOT(ISERROR(SEARCH("H",J28)))</formula>
    </cfRule>
    <cfRule type="containsText" dxfId="46" priority="15" operator="containsText" text="L">
      <formula>NOT(ISERROR(SEARCH("L",J28)))</formula>
    </cfRule>
    <cfRule type="containsText" dxfId="45" priority="16" operator="containsText" text="H">
      <formula>NOT(ISERROR(SEARCH("H",J28)))</formula>
    </cfRule>
  </conditionalFormatting>
  <conditionalFormatting sqref="J28:J31">
    <cfRule type="containsText" dxfId="44" priority="3" operator="containsText" text="H">
      <formula>NOT(ISERROR(SEARCH("H",J28)))</formula>
    </cfRule>
  </conditionalFormatting>
  <conditionalFormatting sqref="J31">
    <cfRule type="containsText" dxfId="43" priority="1" operator="containsText" text="H">
      <formula>NOT(ISERROR(SEARCH("H",J31)))</formula>
    </cfRule>
    <cfRule type="containsText" dxfId="42" priority="2" operator="containsText" text="L">
      <formula>NOT(ISERROR(SEARCH("L",J31)))</formula>
    </cfRule>
  </conditionalFormatting>
  <dataValidations disablePrompts="1" count="1">
    <dataValidation type="list" allowBlank="1" showInputMessage="1" showErrorMessage="1" sqref="A39:D39" xr:uid="{A9A6C2E2-FCEE-431D-BFAC-61DF3D9F8CE1}">
      <formula1>$A$55:$A$59</formula1>
    </dataValidation>
  </dataValidations>
  <printOptions horizontalCentered="1"/>
  <pageMargins left="0.23622047244094499" right="0.23622047244094499" top="0.74803149606299202" bottom="0.74803149606299202" header="0.31496062992126" footer="0.31496062992126"/>
  <pageSetup paperSize="9" scale="87" orientation="portrait" horizontalDpi="360" verticalDpi="360" r:id="rId1"/>
  <headerFooter>
    <oddFooter>&amp;RDOH-CHD7-CL-Form-9 Rev. 0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FED36-A699-4E0B-AE96-0DAC9935A73C}">
  <dimension ref="A1:K135"/>
  <sheetViews>
    <sheetView view="pageLayout" topLeftCell="A46" zoomScaleNormal="100" workbookViewId="0">
      <selection activeCell="A55" sqref="A55:D55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27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IF(D26&lt;4,"L",IF(D26&lt;=11,"",IF(D26&gt;11,"H")))</f>
        <v>L</v>
      </c>
      <c r="G26" s="241" t="s">
        <v>198</v>
      </c>
      <c r="H26" s="241"/>
      <c r="I26" s="241" t="s">
        <v>174</v>
      </c>
      <c r="J26" s="241"/>
      <c r="K26" s="242"/>
    </row>
    <row r="27" spans="1:11">
      <c r="A27" s="18" t="s">
        <v>62</v>
      </c>
      <c r="D27" s="260"/>
      <c r="E27" s="260"/>
      <c r="F27" s="28" t="str">
        <f>IF(D27&lt;4.2,"L",IF(D27&lt;=6.1,"",IF(D27&gt;6.1,"H")))</f>
        <v>L</v>
      </c>
      <c r="G27" s="241" t="s">
        <v>199</v>
      </c>
      <c r="H27" s="241"/>
      <c r="I27" s="241" t="s">
        <v>175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IF(D28&lt;13.5,"L",IF(D28&lt;=17.5,"",IF(D28&gt;17.5,"H")))</f>
        <v>L</v>
      </c>
      <c r="G28" s="241" t="s">
        <v>114</v>
      </c>
      <c r="H28" s="241"/>
      <c r="I28" s="245" t="s">
        <v>176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IF(D29&lt;40,"L",IF(D29&lt;=52,"",IF(D29&gt;52,"H")))</f>
        <v>L</v>
      </c>
      <c r="G29" s="241" t="s">
        <v>31</v>
      </c>
      <c r="H29" s="241"/>
      <c r="I29" s="245" t="s">
        <v>177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IF(D30&lt;79,"L",IF(D30&lt;=92,"",IF(D30&gt;92,"H")))</f>
        <v>L</v>
      </c>
      <c r="G30" s="241" t="s">
        <v>115</v>
      </c>
      <c r="H30" s="241"/>
      <c r="I30" s="241" t="s">
        <v>182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IF(D31&lt;25.7,"L",IF(D31&lt;=32.2,"",IF(D31&gt;32.2,"H")))</f>
        <v>L</v>
      </c>
      <c r="G31" s="241" t="s">
        <v>32</v>
      </c>
      <c r="H31" s="241"/>
      <c r="I31" s="241" t="s">
        <v>183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IF(D32&lt;32.3,"L",IF(D32&lt;=36.5,"",IF(D32&gt;36.5,"H")))</f>
        <v>L</v>
      </c>
      <c r="G32" s="241" t="s">
        <v>31</v>
      </c>
      <c r="H32" s="241"/>
      <c r="I32" s="241" t="s">
        <v>184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IF(D33&lt;11.8,"L",IF(D33&lt;=14.5,"",IF(D33&gt;14.5,"H")))</f>
        <v>L</v>
      </c>
      <c r="G33" s="241" t="s">
        <v>31</v>
      </c>
      <c r="H33" s="241"/>
      <c r="I33" s="241" t="s">
        <v>185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IF(D36&lt;150,"L",IF(D36&lt;=400,"",IF(D36&gt;400,"H")))</f>
        <v>L</v>
      </c>
      <c r="G36" s="241" t="s">
        <v>198</v>
      </c>
      <c r="H36" s="241"/>
      <c r="I36" s="243" t="s">
        <v>188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IF(D37&lt;8,"L",IF(D37&lt;=12,"",IF(D37&gt;12,"H")))</f>
        <v>L</v>
      </c>
      <c r="G37" s="241" t="s">
        <v>115</v>
      </c>
      <c r="H37" s="241"/>
      <c r="I37" s="245" t="s">
        <v>189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IF(D42&lt;44,"L",IF(D42&lt;=68,"",IF(D42&gt;=68,"H")))</f>
        <v>L</v>
      </c>
      <c r="G42" s="52" t="s">
        <v>200</v>
      </c>
      <c r="H42" s="97"/>
      <c r="I42" s="138" t="s">
        <v>198</v>
      </c>
      <c r="J42" s="28" t="str">
        <f>IF(H42&lt;1.6,"L",IF(H42&lt;=6.1,"",IF(H42&gt;6.1,"H")))</f>
        <v>L</v>
      </c>
      <c r="K42" s="139" t="s">
        <v>205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IF(D43&lt;20,"L",IF(D43&lt;=40,"",IF(D43&gt;40,"H")))</f>
        <v>L</v>
      </c>
      <c r="G43" s="52" t="s">
        <v>201</v>
      </c>
      <c r="H43" s="97"/>
      <c r="I43" s="138" t="s">
        <v>198</v>
      </c>
      <c r="J43" s="28" t="str">
        <f>IF(H43&lt;1.2,"L",IF(H43&lt;=3.9,"",IF(H43&gt;3.9,"H")))</f>
        <v>L</v>
      </c>
      <c r="K43" s="139" t="s">
        <v>206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IF(D44&lt;2,"L",IF(D44&lt;=10,"",IF(D44&gt;10,"H")))</f>
        <v>L</v>
      </c>
      <c r="G44" s="56" t="s">
        <v>202</v>
      </c>
      <c r="H44" s="97"/>
      <c r="I44" s="138" t="s">
        <v>198</v>
      </c>
      <c r="J44" s="28" t="str">
        <f>IF(H44&lt;0.3,"L",IF(H44&lt;=0.9,"",IF(H44&gt;0.9,"H")))</f>
        <v>L</v>
      </c>
      <c r="K44" s="139" t="s">
        <v>207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IF(D45&lt;1,"L",IF(D45&lt;=6,"",IF(D45&gt;6,"H")))</f>
        <v>L</v>
      </c>
      <c r="G45" s="9" t="s">
        <v>203</v>
      </c>
      <c r="H45" s="97"/>
      <c r="I45" s="138" t="s">
        <v>198</v>
      </c>
      <c r="J45" s="28" t="str">
        <f>IF(H45&lt;0,"L",IF(H45&lt;=0.5,"",IF(H45&gt;0.5,"H")))</f>
        <v/>
      </c>
      <c r="K45" s="139" t="s">
        <v>208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7:C17"/>
    <mergeCell ref="D17:E17"/>
    <mergeCell ref="F17:G17"/>
    <mergeCell ref="H17:K17"/>
    <mergeCell ref="A18:C18"/>
    <mergeCell ref="D18:E18"/>
    <mergeCell ref="F18:G18"/>
    <mergeCell ref="H18:K18"/>
    <mergeCell ref="A14:C14"/>
    <mergeCell ref="E14:G14"/>
    <mergeCell ref="I14:K14"/>
    <mergeCell ref="A15:C15"/>
    <mergeCell ref="E15:G15"/>
    <mergeCell ref="I15:K15"/>
    <mergeCell ref="I27:K27"/>
    <mergeCell ref="I28:K28"/>
    <mergeCell ref="I29:K29"/>
    <mergeCell ref="I30:K30"/>
    <mergeCell ref="A20:C20"/>
    <mergeCell ref="D20:E20"/>
    <mergeCell ref="F20:G20"/>
    <mergeCell ref="H20:I20"/>
    <mergeCell ref="J20:K20"/>
    <mergeCell ref="D26:E26"/>
    <mergeCell ref="A21:K22"/>
    <mergeCell ref="A23:K23"/>
    <mergeCell ref="A24:C24"/>
    <mergeCell ref="D24:E24"/>
    <mergeCell ref="G24:H24"/>
    <mergeCell ref="I24:K24"/>
    <mergeCell ref="H39:I39"/>
    <mergeCell ref="H40:I40"/>
    <mergeCell ref="J39:J40"/>
    <mergeCell ref="K39:K40"/>
    <mergeCell ref="D39:E39"/>
    <mergeCell ref="A55:D55"/>
    <mergeCell ref="E54:H54"/>
    <mergeCell ref="I54:K54"/>
    <mergeCell ref="E55:H55"/>
    <mergeCell ref="I55:K55"/>
    <mergeCell ref="A54:D54"/>
    <mergeCell ref="A53:D53"/>
    <mergeCell ref="E53:H53"/>
    <mergeCell ref="I53:K53"/>
    <mergeCell ref="A49:B49"/>
    <mergeCell ref="A48:K48"/>
    <mergeCell ref="C49:K49"/>
    <mergeCell ref="A39:C40"/>
    <mergeCell ref="F39:F40"/>
    <mergeCell ref="G39:G40"/>
    <mergeCell ref="D40:E40"/>
    <mergeCell ref="D25:E25"/>
    <mergeCell ref="D35:E35"/>
    <mergeCell ref="D31:E31"/>
    <mergeCell ref="D32:E32"/>
    <mergeCell ref="D33:E33"/>
    <mergeCell ref="D37:E37"/>
    <mergeCell ref="D27:E27"/>
    <mergeCell ref="D28:E28"/>
    <mergeCell ref="D29:E29"/>
    <mergeCell ref="D36:E36"/>
    <mergeCell ref="D30:E30"/>
    <mergeCell ref="I33:K33"/>
    <mergeCell ref="I36:K36"/>
    <mergeCell ref="I37:K37"/>
    <mergeCell ref="G26:H26"/>
    <mergeCell ref="G27:H27"/>
    <mergeCell ref="G28:H28"/>
    <mergeCell ref="G29:H29"/>
    <mergeCell ref="G30:H30"/>
    <mergeCell ref="G31:H31"/>
    <mergeCell ref="G32:H32"/>
    <mergeCell ref="G33:H33"/>
    <mergeCell ref="G36:H36"/>
    <mergeCell ref="G37:H37"/>
    <mergeCell ref="I31:K31"/>
    <mergeCell ref="I32:K32"/>
    <mergeCell ref="I26:K26"/>
  </mergeCells>
  <conditionalFormatting sqref="F25:F37 F41:F47">
    <cfRule type="containsText" dxfId="41" priority="3" operator="containsText" text="H">
      <formula>NOT(ISERROR(SEARCH("H",F25)))</formula>
    </cfRule>
    <cfRule type="containsText" dxfId="40" priority="4" operator="containsText" text="L">
      <formula>NOT(ISERROR(SEARCH("L",F25)))</formula>
    </cfRule>
  </conditionalFormatting>
  <conditionalFormatting sqref="J42:J47">
    <cfRule type="containsText" dxfId="39" priority="1" operator="containsText" text="H">
      <formula>NOT(ISERROR(SEARCH("H",J42)))</formula>
    </cfRule>
    <cfRule type="containsText" dxfId="38" priority="2" operator="containsText" text="L">
      <formula>NOT(ISERROR(SEARCH("L",J42)))</formula>
    </cfRule>
  </conditionalFormatting>
  <dataValidations count="1">
    <dataValidation type="list" allowBlank="1" showInputMessage="1" showErrorMessage="1" sqref="A53:D53" xr:uid="{F4D73867-FF6D-4CFD-A317-7A7DDD55DB6B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316C4-214B-4EF8-9A4E-E5B7F38F0F52}">
  <dimension ref="A1:K135"/>
  <sheetViews>
    <sheetView view="pageLayout" topLeftCell="A40" zoomScaleNormal="100" workbookViewId="0">
      <selection activeCell="A53" sqref="A53:D53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500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IF(D26&lt;4,"L",IF(D26&lt;=11,"",IF(D26&gt;11,"H")))</f>
        <v>L</v>
      </c>
      <c r="G26" s="241" t="s">
        <v>198</v>
      </c>
      <c r="H26" s="241"/>
      <c r="I26" s="241" t="s">
        <v>174</v>
      </c>
      <c r="J26" s="241"/>
      <c r="K26" s="242"/>
    </row>
    <row r="27" spans="1:11">
      <c r="A27" s="18" t="s">
        <v>62</v>
      </c>
      <c r="D27" s="260"/>
      <c r="E27" s="260"/>
      <c r="F27" s="28" t="str">
        <f>IF(D27&lt;4.5,"L",IF(D27&lt;=5.1,"",IF(D27&gt;5.1,"H")))</f>
        <v>L</v>
      </c>
      <c r="G27" s="241" t="s">
        <v>199</v>
      </c>
      <c r="H27" s="241"/>
      <c r="I27" s="241" t="s">
        <v>211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IF(D28&lt;12.3,"L",IF(D28&lt;=15.3,"",IF(D28&gt;15.3,"H")))</f>
        <v>L</v>
      </c>
      <c r="G28" s="241" t="s">
        <v>114</v>
      </c>
      <c r="H28" s="241"/>
      <c r="I28" s="245" t="s">
        <v>212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IF(D29&lt;35.9,"L",IF(D29&lt;=44.6,"",IF(D29&gt;44.6,"H")))</f>
        <v>L</v>
      </c>
      <c r="G29" s="241" t="s">
        <v>31</v>
      </c>
      <c r="H29" s="241"/>
      <c r="I29" s="245" t="s">
        <v>213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IF(D30&lt;80,"L",IF(D30&lt;=96,"",IF(D30&gt;96,"H")))</f>
        <v>L</v>
      </c>
      <c r="G30" s="241" t="s">
        <v>115</v>
      </c>
      <c r="H30" s="241"/>
      <c r="I30" s="241" t="s">
        <v>214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IF(D31&lt;27.5,"L",IF(D31&lt;=33.2,"",IF(D31&gt;33.2,"H")))</f>
        <v>L</v>
      </c>
      <c r="G31" s="241" t="s">
        <v>32</v>
      </c>
      <c r="H31" s="241"/>
      <c r="I31" s="241" t="s">
        <v>215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IF(D32&lt;33.4,"L",IF(D32&lt;=35.5,"",IF(D32&gt;35.5,"H")))</f>
        <v>L</v>
      </c>
      <c r="G32" s="241" t="s">
        <v>31</v>
      </c>
      <c r="H32" s="241"/>
      <c r="I32" s="241" t="s">
        <v>216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IF(D33&lt;11.5,"L",IF(D33&lt;=14.5,"",IF(D33&gt;14.5,"H")))</f>
        <v>L</v>
      </c>
      <c r="G33" s="241" t="s">
        <v>31</v>
      </c>
      <c r="H33" s="241"/>
      <c r="I33" s="241" t="s">
        <v>217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IF(D36&lt;150,"L",IF(D36&lt;=400,"",IF(D36&gt;400,"H")))</f>
        <v>L</v>
      </c>
      <c r="G36" s="241" t="s">
        <v>198</v>
      </c>
      <c r="H36" s="241"/>
      <c r="I36" s="243" t="s">
        <v>188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IF(D37&lt;8,"L",IF(D37&lt;=12,"",IF(D37&gt;12,"H")))</f>
        <v>L</v>
      </c>
      <c r="G37" s="241" t="s">
        <v>115</v>
      </c>
      <c r="H37" s="241"/>
      <c r="I37" s="245" t="s">
        <v>189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IF(D42&lt;44,"L",IF(D42&lt;=68,"",IF(D42&gt;=68,"H")))</f>
        <v>L</v>
      </c>
      <c r="G42" s="52" t="s">
        <v>200</v>
      </c>
      <c r="H42" s="97"/>
      <c r="I42" s="138" t="s">
        <v>198</v>
      </c>
      <c r="J42" s="28" t="str">
        <f>IF(H42&lt;1.6,"L",IF(H42&lt;=6.1,"",IF(H42&gt;6.1,"H")))</f>
        <v>L</v>
      </c>
      <c r="K42" s="139" t="s">
        <v>205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IF(D43&lt;20,"L",IF(D43&lt;=40,"",IF(D43&gt;40,"H")))</f>
        <v>L</v>
      </c>
      <c r="G43" s="52" t="s">
        <v>201</v>
      </c>
      <c r="H43" s="97"/>
      <c r="I43" s="138" t="s">
        <v>198</v>
      </c>
      <c r="J43" s="28" t="str">
        <f>IF(H43&lt;1.2,"L",IF(H43&lt;=3.9,"",IF(H43&gt;3.9,"H")))</f>
        <v>L</v>
      </c>
      <c r="K43" s="139" t="s">
        <v>206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IF(D44&lt;2,"L",IF(D44&lt;=10,"",IF(D44&gt;10,"H")))</f>
        <v>L</v>
      </c>
      <c r="G44" s="56" t="s">
        <v>202</v>
      </c>
      <c r="H44" s="97"/>
      <c r="I44" s="138" t="s">
        <v>198</v>
      </c>
      <c r="J44" s="28" t="str">
        <f>IF(H44&lt;0.3,"L",IF(H44&lt;=0.9,"",IF(H44&gt;0.9,"H")))</f>
        <v>L</v>
      </c>
      <c r="K44" s="139" t="s">
        <v>207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IF(D45&lt;1,"L",IF(D45&lt;=6,"",IF(D45&gt;6,"H")))</f>
        <v>L</v>
      </c>
      <c r="G45" s="9" t="s">
        <v>203</v>
      </c>
      <c r="H45" s="97"/>
      <c r="I45" s="138" t="s">
        <v>198</v>
      </c>
      <c r="J45" s="28" t="str">
        <f>IF(H45&lt;0,"L",IF(H45&lt;=0.5,"",IF(H45&gt;0.5,"H")))</f>
        <v/>
      </c>
      <c r="K45" s="139" t="s">
        <v>208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D26:E26"/>
    <mergeCell ref="G26:H26"/>
    <mergeCell ref="I26:K26"/>
    <mergeCell ref="D27:E27"/>
    <mergeCell ref="G27:H27"/>
    <mergeCell ref="I27:K27"/>
    <mergeCell ref="D28:E28"/>
    <mergeCell ref="G28:H28"/>
    <mergeCell ref="I28:K28"/>
    <mergeCell ref="D29:E29"/>
    <mergeCell ref="G29:H29"/>
    <mergeCell ref="I29:K29"/>
    <mergeCell ref="D30:E30"/>
    <mergeCell ref="G30:H30"/>
    <mergeCell ref="I30:K30"/>
    <mergeCell ref="D31:E31"/>
    <mergeCell ref="G31:H31"/>
    <mergeCell ref="I31:K31"/>
    <mergeCell ref="D32:E32"/>
    <mergeCell ref="G32:H32"/>
    <mergeCell ref="I32:K32"/>
    <mergeCell ref="D33:E33"/>
    <mergeCell ref="G33:H33"/>
    <mergeCell ref="I33:K33"/>
    <mergeCell ref="D35:E35"/>
    <mergeCell ref="D36:E36"/>
    <mergeCell ref="G36:H36"/>
    <mergeCell ref="I36:K36"/>
    <mergeCell ref="D37:E37"/>
    <mergeCell ref="G37:H37"/>
    <mergeCell ref="I37:K37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</mergeCells>
  <conditionalFormatting sqref="F25:F37 F41:F47">
    <cfRule type="containsText" dxfId="37" priority="3" operator="containsText" text="H">
      <formula>NOT(ISERROR(SEARCH("H",F25)))</formula>
    </cfRule>
    <cfRule type="containsText" dxfId="36" priority="4" operator="containsText" text="L">
      <formula>NOT(ISERROR(SEARCH("L",F25)))</formula>
    </cfRule>
  </conditionalFormatting>
  <conditionalFormatting sqref="J42:J47">
    <cfRule type="containsText" dxfId="35" priority="1" operator="containsText" text="H">
      <formula>NOT(ISERROR(SEARCH("H",J42)))</formula>
    </cfRule>
    <cfRule type="containsText" dxfId="34" priority="2" operator="containsText" text="L">
      <formula>NOT(ISERROR(SEARCH("L",J42)))</formula>
    </cfRule>
  </conditionalFormatting>
  <dataValidations count="1">
    <dataValidation type="list" allowBlank="1" showInputMessage="1" showErrorMessage="1" sqref="A53:D53" xr:uid="{94DAA278-1117-4C60-8B97-184E07C764AA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8EB6-428A-4918-8893-A79AEC05CE4C}">
  <dimension ref="A1:K135"/>
  <sheetViews>
    <sheetView view="pageLayout" topLeftCell="A43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IF(D26&lt;3.8,"L",IF(D26&lt;=9.8,"",IF(D26&gt;9.8,"H")))</f>
        <v>L</v>
      </c>
      <c r="G26" s="241" t="s">
        <v>198</v>
      </c>
      <c r="H26" s="241"/>
      <c r="I26" s="241" t="s">
        <v>218</v>
      </c>
      <c r="J26" s="241"/>
      <c r="K26" s="242"/>
    </row>
    <row r="27" spans="1:11">
      <c r="A27" s="18" t="s">
        <v>62</v>
      </c>
      <c r="D27" s="260"/>
      <c r="E27" s="260"/>
      <c r="F27" s="28" t="str">
        <f>IF(D27&lt;3.9,"L",IF(D27&lt;=5.3,"",IF(D27&gt;5.3,"H")))</f>
        <v>L</v>
      </c>
      <c r="G27" s="241" t="s">
        <v>199</v>
      </c>
      <c r="H27" s="241"/>
      <c r="I27" s="241" t="s">
        <v>219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IF(D28&lt;10.8,"L",IF(D28&lt;=14.5,"",IF(D28&gt;14.5,"H")))</f>
        <v>L</v>
      </c>
      <c r="G28" s="241" t="s">
        <v>114</v>
      </c>
      <c r="H28" s="241"/>
      <c r="I28" s="245" t="s">
        <v>220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IF(D29&lt;33,"L",IF(D29&lt;=44,"",IF(D29&gt;44,"H")))</f>
        <v>L</v>
      </c>
      <c r="G29" s="241" t="s">
        <v>31</v>
      </c>
      <c r="H29" s="241"/>
      <c r="I29" s="245" t="s">
        <v>221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IF(D30&lt;77,"L",IF(D30&lt;=91,"",IF(D30&gt;91,"H")))</f>
        <v>L</v>
      </c>
      <c r="G30" s="241" t="s">
        <v>115</v>
      </c>
      <c r="H30" s="241"/>
      <c r="I30" s="241" t="s">
        <v>222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IF(D31&lt;25,"L",IF(D31&lt;=30,"",IF(D31&gt;30,"H")))</f>
        <v>L</v>
      </c>
      <c r="G31" s="241" t="s">
        <v>32</v>
      </c>
      <c r="H31" s="241"/>
      <c r="I31" s="241" t="s">
        <v>223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IF(D32&lt;31.5,"L",IF(D32&lt;=34.8,"",IF(D32&gt;34.8,"H")))</f>
        <v>L</v>
      </c>
      <c r="G32" s="241" t="s">
        <v>31</v>
      </c>
      <c r="H32" s="241"/>
      <c r="I32" s="241" t="s">
        <v>224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IF(D33&lt;0,"L",IF(D33&lt;14.6,"",IF(D33&gt;=14.6,"H")))</f>
        <v/>
      </c>
      <c r="G33" s="241" t="s">
        <v>31</v>
      </c>
      <c r="H33" s="241"/>
      <c r="I33" s="241" t="s">
        <v>225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IF(D36&lt;175,"L",IF(D36&lt;=345,"",IF(D36&gt;345,"H")))</f>
        <v>L</v>
      </c>
      <c r="G36" s="241" t="s">
        <v>198</v>
      </c>
      <c r="H36" s="241"/>
      <c r="I36" s="243" t="s">
        <v>226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IF(D37&lt;9.6,"L",IF(D37&lt;=11.8,"",IF(D37&gt;11.8,"H")))</f>
        <v>L</v>
      </c>
      <c r="G37" s="241" t="s">
        <v>115</v>
      </c>
      <c r="H37" s="241"/>
      <c r="I37" s="245" t="s">
        <v>227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IF(H42&lt;1.5,"L",IF(H42&lt;=7.5,"",IF(H42&gt;7.5,"H")))</f>
        <v>L</v>
      </c>
      <c r="K42" s="139" t="s">
        <v>228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IF(H43&lt;1,"L",IF(H43&lt;=3.3,"",IF(H43&gt;3.3,"H")))</f>
        <v>L</v>
      </c>
      <c r="K43" s="139" t="s">
        <v>229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IF(H44&lt;0.2,"L",IF(H44&lt;=0.8,"",IF(H44&gt;0.8,"H")))</f>
        <v>L</v>
      </c>
      <c r="K44" s="139" t="s">
        <v>230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IF(H45&lt;0,"L",IF(H45&lt;=0.4,"",IF(H45&gt;0.4,"H")))</f>
        <v/>
      </c>
      <c r="K45" s="139" t="s">
        <v>231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D35:E35"/>
    <mergeCell ref="D36:E36"/>
    <mergeCell ref="G36:H36"/>
    <mergeCell ref="I36:K36"/>
    <mergeCell ref="D37:E37"/>
    <mergeCell ref="G37:H37"/>
    <mergeCell ref="I37:K37"/>
    <mergeCell ref="D32:E32"/>
    <mergeCell ref="G32:H32"/>
    <mergeCell ref="I32:K32"/>
    <mergeCell ref="D33:E33"/>
    <mergeCell ref="G33:H33"/>
    <mergeCell ref="I33:K33"/>
    <mergeCell ref="D30:E30"/>
    <mergeCell ref="G30:H30"/>
    <mergeCell ref="I30:K30"/>
    <mergeCell ref="D31:E31"/>
    <mergeCell ref="G31:H31"/>
    <mergeCell ref="I31:K31"/>
    <mergeCell ref="D28:E28"/>
    <mergeCell ref="G28:H28"/>
    <mergeCell ref="I28:K28"/>
    <mergeCell ref="D29:E29"/>
    <mergeCell ref="G29:H29"/>
    <mergeCell ref="I29:K29"/>
    <mergeCell ref="D26:E26"/>
    <mergeCell ref="G26:H26"/>
    <mergeCell ref="I26:K26"/>
    <mergeCell ref="D27:E27"/>
    <mergeCell ref="G27:H27"/>
    <mergeCell ref="I27:K27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5:F37 F41:F47">
    <cfRule type="containsText" dxfId="33" priority="3" operator="containsText" text="H">
      <formula>NOT(ISERROR(SEARCH("H",F25)))</formula>
    </cfRule>
    <cfRule type="containsText" dxfId="32" priority="4" operator="containsText" text="L">
      <formula>NOT(ISERROR(SEARCH("L",F25)))</formula>
    </cfRule>
  </conditionalFormatting>
  <conditionalFormatting sqref="J42:J47">
    <cfRule type="containsText" dxfId="31" priority="1" operator="containsText" text="H">
      <formula>NOT(ISERROR(SEARCH("H",J42)))</formula>
    </cfRule>
    <cfRule type="containsText" dxfId="30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71BBFBB9-191A-4DB1-99EF-ED1C4752B063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370-5239-4C99-8D59-FCA17F0B0CEB}">
  <dimension ref="A1:K135"/>
  <sheetViews>
    <sheetView view="pageLayout" topLeftCell="A40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IF(D26&lt;4.3,"L",IF(D26&lt;=11.4,"",IF(D26&gt;11.4,"H")))</f>
        <v>L</v>
      </c>
      <c r="G26" s="241" t="s">
        <v>198</v>
      </c>
      <c r="H26" s="241"/>
      <c r="I26" s="241" t="s">
        <v>236</v>
      </c>
      <c r="J26" s="241"/>
      <c r="K26" s="242"/>
    </row>
    <row r="27" spans="1:11">
      <c r="A27" s="18" t="s">
        <v>62</v>
      </c>
      <c r="D27" s="260"/>
      <c r="E27" s="260"/>
      <c r="F27" s="28" t="str">
        <f>IF(D27&lt;3.9,"L",IF(D27&lt;=5,"",IF(D27&gt;5,"H")))</f>
        <v>L</v>
      </c>
      <c r="G27" s="241" t="s">
        <v>199</v>
      </c>
      <c r="H27" s="241"/>
      <c r="I27" s="241" t="s">
        <v>237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IF(D28&lt;10.6,"L",IF(D28&lt;=13.4,"",IF(D28&gt;13.4,"H")))</f>
        <v>L</v>
      </c>
      <c r="G28" s="241" t="s">
        <v>114</v>
      </c>
      <c r="H28" s="241"/>
      <c r="I28" s="245" t="s">
        <v>238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IF(D29&lt;32,"L",IF(D29&lt;=40,"",IF(D29&gt;40,"H")))</f>
        <v>L</v>
      </c>
      <c r="G29" s="241" t="s">
        <v>31</v>
      </c>
      <c r="H29" s="241"/>
      <c r="I29" s="245" t="s">
        <v>239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IF(D30&lt;75,"L",IF(D30&lt;=88,"",IF(D30&gt;88,"H")))</f>
        <v>L</v>
      </c>
      <c r="G30" s="241" t="s">
        <v>115</v>
      </c>
      <c r="H30" s="241"/>
      <c r="I30" s="241" t="s">
        <v>240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IF(D31&lt;25,"L",IF(D31&lt;=29,"",IF(D31&gt;29,"H")))</f>
        <v>L</v>
      </c>
      <c r="G31" s="241" t="s">
        <v>32</v>
      </c>
      <c r="H31" s="241"/>
      <c r="I31" s="241" t="s">
        <v>241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IF(D32&lt;31.8,"L",IF(D32&lt;=34.9,"",IF(D32&gt;34.9,"H")))</f>
        <v>L</v>
      </c>
      <c r="G32" s="241" t="s">
        <v>31</v>
      </c>
      <c r="H32" s="241"/>
      <c r="I32" s="241" t="s">
        <v>242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IF(D33&lt;0,"L",IF(D33&lt;14.4,"",IF(D33&gt;=14.4,"H")))</f>
        <v/>
      </c>
      <c r="G33" s="241" t="s">
        <v>31</v>
      </c>
      <c r="H33" s="241"/>
      <c r="I33" s="241" t="s">
        <v>243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IF(D36&lt;200,"L",IF(D36&lt;=369,"",IF(D36&gt;369,"H")))</f>
        <v>L</v>
      </c>
      <c r="G36" s="241" t="s">
        <v>198</v>
      </c>
      <c r="H36" s="241"/>
      <c r="I36" s="243" t="s">
        <v>244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IF(D37&lt;9.2,"L",IF(D37&lt;=11.4,"",IF(D37&gt;11.4,"H")))</f>
        <v>L</v>
      </c>
      <c r="G37" s="241" t="s">
        <v>115</v>
      </c>
      <c r="H37" s="241"/>
      <c r="I37" s="245" t="s">
        <v>245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IF(H42&lt;1.6,"L",IF(H42&lt;=7.9,"",IF(H42&gt;7.9,"H")))</f>
        <v>L</v>
      </c>
      <c r="K42" s="139" t="s">
        <v>246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IF(H43&lt;1,"L",IF(H43&lt;=4,"",IF(H43&gt;4,"H")))</f>
        <v>L</v>
      </c>
      <c r="K43" s="139" t="s">
        <v>247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IF(H44&lt;0.2,"L",IF(H44&lt;=0.9,"",IF(H44&gt;0.9,"H")))</f>
        <v>L</v>
      </c>
      <c r="K44" s="139" t="s">
        <v>248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IF(H45&lt;0,"L",IF(H45&lt;=0.5,"",IF(H45&gt;0.5,"H")))</f>
        <v/>
      </c>
      <c r="K45" s="139" t="s">
        <v>208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D35:E35"/>
    <mergeCell ref="D36:E36"/>
    <mergeCell ref="G36:H36"/>
    <mergeCell ref="I36:K36"/>
    <mergeCell ref="D37:E37"/>
    <mergeCell ref="G37:H37"/>
    <mergeCell ref="I37:K37"/>
    <mergeCell ref="D32:E32"/>
    <mergeCell ref="G32:H32"/>
    <mergeCell ref="I32:K32"/>
    <mergeCell ref="D33:E33"/>
    <mergeCell ref="G33:H33"/>
    <mergeCell ref="I33:K33"/>
    <mergeCell ref="D30:E30"/>
    <mergeCell ref="G30:H30"/>
    <mergeCell ref="I30:K30"/>
    <mergeCell ref="D31:E31"/>
    <mergeCell ref="G31:H31"/>
    <mergeCell ref="I31:K31"/>
    <mergeCell ref="D28:E28"/>
    <mergeCell ref="G28:H28"/>
    <mergeCell ref="I28:K28"/>
    <mergeCell ref="D29:E29"/>
    <mergeCell ref="G29:H29"/>
    <mergeCell ref="I29:K29"/>
    <mergeCell ref="D26:E26"/>
    <mergeCell ref="G26:H26"/>
    <mergeCell ref="I26:K26"/>
    <mergeCell ref="D27:E27"/>
    <mergeCell ref="G27:H27"/>
    <mergeCell ref="I27:K27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5:F37 F41:F47">
    <cfRule type="containsText" dxfId="29" priority="3" operator="containsText" text="H">
      <formula>NOT(ISERROR(SEARCH("H",F25)))</formula>
    </cfRule>
    <cfRule type="containsText" dxfId="28" priority="4" operator="containsText" text="L">
      <formula>NOT(ISERROR(SEARCH("L",F25)))</formula>
    </cfRule>
  </conditionalFormatting>
  <conditionalFormatting sqref="J42:J47">
    <cfRule type="containsText" dxfId="27" priority="1" operator="containsText" text="H">
      <formula>NOT(ISERROR(SEARCH("H",J42)))</formula>
    </cfRule>
    <cfRule type="containsText" dxfId="26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4D5CA6AB-E945-41BC-994A-7D40F02625DD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90B6-EA21-4A45-9480-AC567087FC48}">
  <dimension ref="A1:K135"/>
  <sheetViews>
    <sheetView view="pageLayout" topLeftCell="A46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500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IF(D26&lt;4.9,"L",IF(D26&lt;=13.4,"",IF(D26&gt;13.4,"H")))</f>
        <v>L</v>
      </c>
      <c r="G26" s="241" t="s">
        <v>198</v>
      </c>
      <c r="H26" s="241"/>
      <c r="I26" s="241" t="s">
        <v>249</v>
      </c>
      <c r="J26" s="241"/>
      <c r="K26" s="242"/>
    </row>
    <row r="27" spans="1:11">
      <c r="A27" s="18" t="s">
        <v>62</v>
      </c>
      <c r="D27" s="260"/>
      <c r="E27" s="260"/>
      <c r="F27" s="28" t="str">
        <f>IF(D27&lt;3.8,"L",IF(D27&lt;=5,"",IF(D27&gt;5,"H")))</f>
        <v>L</v>
      </c>
      <c r="G27" s="241" t="s">
        <v>199</v>
      </c>
      <c r="H27" s="241"/>
      <c r="I27" s="241" t="s">
        <v>250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IF(D28&lt;10.2,"L",IF(D28&lt;=12.7,"",IF(D28&gt;12.7,"H")))</f>
        <v>L</v>
      </c>
      <c r="G28" s="241" t="s">
        <v>114</v>
      </c>
      <c r="H28" s="241"/>
      <c r="I28" s="245" t="s">
        <v>251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IF(D29&lt;31,"L",IF(D29&lt;=38,"",IF(D29&gt;38,"H")))</f>
        <v>L</v>
      </c>
      <c r="G29" s="241" t="s">
        <v>31</v>
      </c>
      <c r="H29" s="241"/>
      <c r="I29" s="245" t="s">
        <v>252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IF(D30&lt;71,"L",IF(D30&lt;=85,"",IF(D30&gt;85,"H")))</f>
        <v>L</v>
      </c>
      <c r="G30" s="241" t="s">
        <v>115</v>
      </c>
      <c r="H30" s="241"/>
      <c r="I30" s="241" t="s">
        <v>253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IF(D31&lt;24,"L",IF(D31&lt;=29,"",IF(D31&gt;29,"H")))</f>
        <v>L</v>
      </c>
      <c r="G31" s="241" t="s">
        <v>32</v>
      </c>
      <c r="H31" s="241"/>
      <c r="I31" s="241" t="s">
        <v>254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IF(D32&lt;31.8,"L",IF(D32&lt;=34.7,"",IF(D32&gt;34.7,"H")))</f>
        <v>L</v>
      </c>
      <c r="G32" s="241" t="s">
        <v>31</v>
      </c>
      <c r="H32" s="241"/>
      <c r="I32" s="241" t="s">
        <v>255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IF(D33&lt;0,"L",IF(D33&lt;14.9,"",IF(D33&gt;=14.9,"H")))</f>
        <v/>
      </c>
      <c r="G33" s="241" t="s">
        <v>31</v>
      </c>
      <c r="H33" s="241"/>
      <c r="I33" s="241" t="s">
        <v>256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IF(D36&lt;190,"L",IF(D36&lt;=403,"",IF(D36&gt;403,"H")))</f>
        <v>L</v>
      </c>
      <c r="G36" s="241" t="s">
        <v>198</v>
      </c>
      <c r="H36" s="241"/>
      <c r="I36" s="243" t="s">
        <v>257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IF(D37&lt;8.9,"L",IF(D37&lt;=11,"",IF(D37&gt;11,"H")))</f>
        <v>L</v>
      </c>
      <c r="G37" s="241" t="s">
        <v>115</v>
      </c>
      <c r="H37" s="241"/>
      <c r="I37" s="245" t="s">
        <v>258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IF(H42&lt;1.5,"L",IF(H42&lt;=8.3,"",IF(H42&gt;8.3,"H")))</f>
        <v>L</v>
      </c>
      <c r="K42" s="139" t="s">
        <v>259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IF(H43&lt;1.1,"L",IF(H43&lt;=5.8,"",IF(H43&gt;5.8,"H")))</f>
        <v>L</v>
      </c>
      <c r="K43" s="139" t="s">
        <v>260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IF(H44&lt;0.2,"L",IF(H44&lt;=0.9,"",IF(H44&gt;0.9,"H")))</f>
        <v>L</v>
      </c>
      <c r="K44" s="139" t="s">
        <v>248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IF(H45&lt;0,"L",IF(H45&lt;=0.5,"",IF(H45&gt;0.5,"H")))</f>
        <v/>
      </c>
      <c r="K45" s="139" t="s">
        <v>208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D35:E35"/>
    <mergeCell ref="D36:E36"/>
    <mergeCell ref="G36:H36"/>
    <mergeCell ref="I36:K36"/>
    <mergeCell ref="D37:E37"/>
    <mergeCell ref="G37:H37"/>
    <mergeCell ref="I37:K37"/>
    <mergeCell ref="D32:E32"/>
    <mergeCell ref="G32:H32"/>
    <mergeCell ref="I32:K32"/>
    <mergeCell ref="D33:E33"/>
    <mergeCell ref="G33:H33"/>
    <mergeCell ref="I33:K33"/>
    <mergeCell ref="D30:E30"/>
    <mergeCell ref="G30:H30"/>
    <mergeCell ref="I30:K30"/>
    <mergeCell ref="D31:E31"/>
    <mergeCell ref="G31:H31"/>
    <mergeCell ref="I31:K31"/>
    <mergeCell ref="D28:E28"/>
    <mergeCell ref="G28:H28"/>
    <mergeCell ref="I28:K28"/>
    <mergeCell ref="D29:E29"/>
    <mergeCell ref="G29:H29"/>
    <mergeCell ref="I29:K29"/>
    <mergeCell ref="D26:E26"/>
    <mergeCell ref="G26:H26"/>
    <mergeCell ref="I26:K26"/>
    <mergeCell ref="D27:E27"/>
    <mergeCell ref="G27:H27"/>
    <mergeCell ref="I27:K27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5:F37 F41:F47">
    <cfRule type="containsText" dxfId="25" priority="3" operator="containsText" text="H">
      <formula>NOT(ISERROR(SEARCH("H",F25)))</formula>
    </cfRule>
    <cfRule type="containsText" dxfId="24" priority="4" operator="containsText" text="L">
      <formula>NOT(ISERROR(SEARCH("L",F25)))</formula>
    </cfRule>
  </conditionalFormatting>
  <conditionalFormatting sqref="J42:J47">
    <cfRule type="containsText" dxfId="23" priority="1" operator="containsText" text="H">
      <formula>NOT(ISERROR(SEARCH("H",J42)))</formula>
    </cfRule>
    <cfRule type="containsText" dxfId="22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F2515492-46BC-4350-927C-CE02960FA12E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EB3E0-18BF-4DB9-B28F-FB9A2D8F33A7}">
  <dimension ref="A1:K135"/>
  <sheetViews>
    <sheetView view="pageLayout" topLeftCell="A49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IF(D26&lt;6,"L",IF(D26&lt;=13.5,"",IF(D26&gt;13.5,"H")))</f>
        <v>L</v>
      </c>
      <c r="G26" s="241" t="s">
        <v>198</v>
      </c>
      <c r="H26" s="241"/>
      <c r="I26" s="241" t="s">
        <v>261</v>
      </c>
      <c r="J26" s="241"/>
      <c r="K26" s="242"/>
    </row>
    <row r="27" spans="1:11">
      <c r="A27" s="18" t="s">
        <v>62</v>
      </c>
      <c r="D27" s="260"/>
      <c r="E27" s="260"/>
      <c r="F27" s="28" t="str">
        <f>IF(D27&lt;4,"L",IF(D27&lt;=5,"",IF(D27&gt;5,"H")))</f>
        <v>L</v>
      </c>
      <c r="G27" s="241" t="s">
        <v>199</v>
      </c>
      <c r="H27" s="241"/>
      <c r="I27" s="241" t="s">
        <v>262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IF(D28&lt;10.1,"L",IF(D28&lt;=12.7,"",IF(D28&gt;12.7,"H")))</f>
        <v>L</v>
      </c>
      <c r="G28" s="241" t="s">
        <v>114</v>
      </c>
      <c r="H28" s="241"/>
      <c r="I28" s="245" t="s">
        <v>263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IF(D29&lt;31,"L",IF(D29&lt;=38,"",IF(D29&gt;38,"H")))</f>
        <v>L</v>
      </c>
      <c r="G29" s="241" t="s">
        <v>31</v>
      </c>
      <c r="H29" s="241"/>
      <c r="I29" s="245" t="s">
        <v>252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IF(D30&lt;70,"L",IF(D30&lt;=83,"",IF(D30&gt;83,"H")))</f>
        <v>L</v>
      </c>
      <c r="G30" s="241" t="s">
        <v>115</v>
      </c>
      <c r="H30" s="241"/>
      <c r="I30" s="241" t="s">
        <v>264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IF(D31&lt;23,"L",IF(D31&lt;=28,"",IF(D31&gt;28,"H")))</f>
        <v>L</v>
      </c>
      <c r="G31" s="241" t="s">
        <v>32</v>
      </c>
      <c r="H31" s="241"/>
      <c r="I31" s="241" t="s">
        <v>265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IF(D32&lt;31.6,"L",IF(D32&lt;=34.4,"",IF(D32&gt;34.4,"H")))</f>
        <v>L</v>
      </c>
      <c r="G32" s="241" t="s">
        <v>31</v>
      </c>
      <c r="H32" s="241"/>
      <c r="I32" s="241" t="s">
        <v>266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IF(D33&lt;0,"L",IF(D33&lt;15.6,"",IF(D33&gt;=15.6,"H")))</f>
        <v/>
      </c>
      <c r="G33" s="241" t="s">
        <v>31</v>
      </c>
      <c r="H33" s="241"/>
      <c r="I33" s="241" t="s">
        <v>267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IF(D36&lt;206,"L",IF(D36&lt;=459,"",IF(D36&gt;459,"H")))</f>
        <v>L</v>
      </c>
      <c r="G36" s="241" t="s">
        <v>198</v>
      </c>
      <c r="H36" s="241"/>
      <c r="I36" s="243" t="s">
        <v>268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IF(D37&lt;8.7,"L",IF(D37&lt;=10.6,"",IF(D37&gt;10.6,"H")))</f>
        <v>L</v>
      </c>
      <c r="G37" s="241" t="s">
        <v>115</v>
      </c>
      <c r="H37" s="241"/>
      <c r="I37" s="245" t="s">
        <v>269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IF(H42&lt;1.2,"L",IF(H42&lt;=7.2,"",IF(H42&gt;7.2,"H")))</f>
        <v>L</v>
      </c>
      <c r="K42" s="139" t="s">
        <v>270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IF(H43&lt;1.5,"L",IF(H43&lt;=8.1,"",IF(H43&gt;8.1,"H")))</f>
        <v>L</v>
      </c>
      <c r="K43" s="139" t="s">
        <v>271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IF(H44&lt;0.2,"L",IF(H44&lt;=1.2,"",IF(H44&gt;1.2,"H")))</f>
        <v>L</v>
      </c>
      <c r="K44" s="139" t="s">
        <v>272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IF(H45&lt;0,"L",IF(H45&lt;=0.8,"",IF(H45&gt;0.8,"H")))</f>
        <v/>
      </c>
      <c r="K45" s="139" t="s">
        <v>273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D35:E35"/>
    <mergeCell ref="D36:E36"/>
    <mergeCell ref="G36:H36"/>
    <mergeCell ref="I36:K36"/>
    <mergeCell ref="D37:E37"/>
    <mergeCell ref="G37:H37"/>
    <mergeCell ref="I37:K37"/>
    <mergeCell ref="D32:E32"/>
    <mergeCell ref="G32:H32"/>
    <mergeCell ref="I32:K32"/>
    <mergeCell ref="D33:E33"/>
    <mergeCell ref="G33:H33"/>
    <mergeCell ref="I33:K33"/>
    <mergeCell ref="D30:E30"/>
    <mergeCell ref="G30:H30"/>
    <mergeCell ref="I30:K30"/>
    <mergeCell ref="D31:E31"/>
    <mergeCell ref="G31:H31"/>
    <mergeCell ref="I31:K31"/>
    <mergeCell ref="D28:E28"/>
    <mergeCell ref="G28:H28"/>
    <mergeCell ref="I28:K28"/>
    <mergeCell ref="D29:E29"/>
    <mergeCell ref="G29:H29"/>
    <mergeCell ref="I29:K29"/>
    <mergeCell ref="D26:E26"/>
    <mergeCell ref="G26:H26"/>
    <mergeCell ref="I26:K26"/>
    <mergeCell ref="D27:E27"/>
    <mergeCell ref="G27:H27"/>
    <mergeCell ref="I27:K27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A17:C17"/>
    <mergeCell ref="D17:E17"/>
    <mergeCell ref="F17:G17"/>
    <mergeCell ref="H17:K17"/>
    <mergeCell ref="A18:C18"/>
    <mergeCell ref="D18:E18"/>
    <mergeCell ref="F18:G18"/>
    <mergeCell ref="H18:K18"/>
    <mergeCell ref="A14:C14"/>
    <mergeCell ref="E14:G14"/>
    <mergeCell ref="I14:K14"/>
    <mergeCell ref="A15:C15"/>
    <mergeCell ref="E15:G15"/>
    <mergeCell ref="I15:K15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5:F37 F41:F47">
    <cfRule type="containsText" dxfId="21" priority="3" operator="containsText" text="H">
      <formula>NOT(ISERROR(SEARCH("H",F25)))</formula>
    </cfRule>
    <cfRule type="containsText" dxfId="20" priority="4" operator="containsText" text="L">
      <formula>NOT(ISERROR(SEARCH("L",F25)))</formula>
    </cfRule>
  </conditionalFormatting>
  <conditionalFormatting sqref="J42:J47">
    <cfRule type="containsText" dxfId="19" priority="1" operator="containsText" text="H">
      <formula>NOT(ISERROR(SEARCH("H",J42)))</formula>
    </cfRule>
    <cfRule type="containsText" dxfId="18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38F8499A-72AC-4E8D-9A8F-86AE4D2D771F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6CD1B-CB32-467F-814A-5371E5B7E403}">
  <dimension ref="A1:K135"/>
  <sheetViews>
    <sheetView view="pageLayout" topLeftCell="A40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IF(D26&lt;6,"L",IF(D26&lt;=13.3,"",IF(D26&gt;13.3,"H")))</f>
        <v>L</v>
      </c>
      <c r="G26" s="241" t="s">
        <v>198</v>
      </c>
      <c r="H26" s="241"/>
      <c r="I26" s="241" t="s">
        <v>274</v>
      </c>
      <c r="J26" s="241"/>
      <c r="K26" s="242"/>
    </row>
    <row r="27" spans="1:11">
      <c r="A27" s="18" t="s">
        <v>62</v>
      </c>
      <c r="D27" s="260"/>
      <c r="E27" s="260"/>
      <c r="F27" s="28" t="str">
        <f>IF(D27&lt;3.4,"L",IF(D27&lt;=4.8,"",IF(D27&gt;4.8,"H")))</f>
        <v>L</v>
      </c>
      <c r="G27" s="241" t="s">
        <v>199</v>
      </c>
      <c r="H27" s="241"/>
      <c r="I27" s="241" t="s">
        <v>275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IF(D28&lt;9.6,"L",IF(D28&lt;=12.4,"",IF(D28&gt;12.4,"H")))</f>
        <v>L</v>
      </c>
      <c r="G28" s="241" t="s">
        <v>114</v>
      </c>
      <c r="H28" s="241"/>
      <c r="I28" s="245" t="s">
        <v>276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IF(D29&lt;29,"L",IF(D29&lt;=37,"",IF(D29&gt;37,"H")))</f>
        <v>L</v>
      </c>
      <c r="G29" s="241" t="s">
        <v>31</v>
      </c>
      <c r="H29" s="241"/>
      <c r="I29" s="245" t="s">
        <v>277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IF(D30&lt;74,"L",IF(D30&lt;=88,"",IF(D30&gt;88,"H")))</f>
        <v>L</v>
      </c>
      <c r="G30" s="241" t="s">
        <v>115</v>
      </c>
      <c r="H30" s="241"/>
      <c r="I30" s="241" t="s">
        <v>278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IF(D31&lt;24,"L",IF(D31&lt;=30,"",IF(D31&gt;30,"H")))</f>
        <v>L</v>
      </c>
      <c r="G31" s="241" t="s">
        <v>32</v>
      </c>
      <c r="H31" s="241"/>
      <c r="I31" s="241" t="s">
        <v>279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IF(D32&lt;31.9,"L",IF(D32&lt;=34.4,"",IF(D32&gt;34.4,"H")))</f>
        <v>L</v>
      </c>
      <c r="G32" s="241" t="s">
        <v>31</v>
      </c>
      <c r="H32" s="241"/>
      <c r="I32" s="241" t="s">
        <v>280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IF(D33&lt;0,"L",IF(D33&lt;15.3,"",IF(D33&gt;=15.3,"H")))</f>
        <v/>
      </c>
      <c r="G33" s="241" t="s">
        <v>31</v>
      </c>
      <c r="H33" s="241"/>
      <c r="I33" s="241" t="s">
        <v>281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IF(D36&lt;244,"L",IF(D36&lt;=580,"",IF(D36&gt;580,"H")))</f>
        <v>L</v>
      </c>
      <c r="G36" s="241" t="s">
        <v>198</v>
      </c>
      <c r="H36" s="241"/>
      <c r="I36" s="243" t="s">
        <v>282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IF(D37&lt;8.9,"L",IF(D37&lt;=10.9,"",IF(D37&gt;10.9,"H")))</f>
        <v>L</v>
      </c>
      <c r="G37" s="241" t="s">
        <v>115</v>
      </c>
      <c r="H37" s="241"/>
      <c r="I37" s="245" t="s">
        <v>283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IF(H42&lt;1,"L",IF(H42&lt;=7.2,"",IF(H42&gt;7.2,"H")))</f>
        <v>L</v>
      </c>
      <c r="K42" s="139" t="s">
        <v>284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IF(H43&lt;2.1,"L",IF(H43&lt;=9,"",IF(H43&gt;9,"H")))</f>
        <v>L</v>
      </c>
      <c r="K43" s="139" t="s">
        <v>285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IF(H44&lt;0.2,"L",IF(H44&lt;=1.2,"",IF(H44&gt;1.2,"H")))</f>
        <v>L</v>
      </c>
      <c r="K44" s="139" t="s">
        <v>272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IF(H45&lt;0,"L",IF(H45&lt;=0.7,"",IF(H45&gt;0.7,"H")))</f>
        <v/>
      </c>
      <c r="K45" s="139" t="s">
        <v>286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D26:E26"/>
    <mergeCell ref="G26:H26"/>
    <mergeCell ref="I26:K26"/>
    <mergeCell ref="D27:E27"/>
    <mergeCell ref="G27:H27"/>
    <mergeCell ref="I27:K27"/>
    <mergeCell ref="D28:E28"/>
    <mergeCell ref="G28:H28"/>
    <mergeCell ref="I28:K28"/>
    <mergeCell ref="D29:E29"/>
    <mergeCell ref="G29:H29"/>
    <mergeCell ref="I29:K29"/>
    <mergeCell ref="D30:E30"/>
    <mergeCell ref="G30:H30"/>
    <mergeCell ref="I30:K30"/>
    <mergeCell ref="D31:E31"/>
    <mergeCell ref="G31:H31"/>
    <mergeCell ref="I31:K31"/>
    <mergeCell ref="D32:E32"/>
    <mergeCell ref="G32:H32"/>
    <mergeCell ref="I32:K32"/>
    <mergeCell ref="D33:E33"/>
    <mergeCell ref="G33:H33"/>
    <mergeCell ref="I33:K33"/>
    <mergeCell ref="D35:E35"/>
    <mergeCell ref="D36:E36"/>
    <mergeCell ref="G36:H36"/>
    <mergeCell ref="I36:K36"/>
    <mergeCell ref="D37:E37"/>
    <mergeCell ref="G37:H37"/>
    <mergeCell ref="I37:K37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</mergeCells>
  <conditionalFormatting sqref="F25:F37 F41:F47">
    <cfRule type="containsText" dxfId="17" priority="3" operator="containsText" text="H">
      <formula>NOT(ISERROR(SEARCH("H",F25)))</formula>
    </cfRule>
    <cfRule type="containsText" dxfId="16" priority="4" operator="containsText" text="L">
      <formula>NOT(ISERROR(SEARCH("L",F25)))</formula>
    </cfRule>
  </conditionalFormatting>
  <conditionalFormatting sqref="J42:J47">
    <cfRule type="containsText" dxfId="15" priority="1" operator="containsText" text="H">
      <formula>NOT(ISERROR(SEARCH("H",J42)))</formula>
    </cfRule>
    <cfRule type="containsText" dxfId="14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70CC4576-1660-40AA-AAAB-0C29804CFEDC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54BB-A2D9-4AD8-B695-FE5852FC0072}">
  <dimension ref="A1:K135"/>
  <sheetViews>
    <sheetView view="pageLayout" topLeftCell="A43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IF(D26&lt;7.1,"L",IF(D26&lt;=15,"",IF(D26&gt;15,"H")))</f>
        <v>L</v>
      </c>
      <c r="G26" s="241" t="s">
        <v>198</v>
      </c>
      <c r="H26" s="241"/>
      <c r="I26" s="241" t="s">
        <v>287</v>
      </c>
      <c r="J26" s="241"/>
      <c r="K26" s="242"/>
    </row>
    <row r="27" spans="1:11">
      <c r="A27" s="18" t="s">
        <v>62</v>
      </c>
      <c r="D27" s="260"/>
      <c r="E27" s="260"/>
      <c r="F27" s="28" t="str">
        <f>IF(D27&lt;2.9,"L",IF(D27&lt;=4.2,"",IF(D27&gt;4.2,"H")))</f>
        <v>L</v>
      </c>
      <c r="G27" s="241" t="s">
        <v>199</v>
      </c>
      <c r="H27" s="241"/>
      <c r="I27" s="241" t="s">
        <v>288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IF(D28&lt;8.9,"L",IF(D28&lt;=12.7,"",IF(D28&gt;12.7,"H")))</f>
        <v>L</v>
      </c>
      <c r="G28" s="241" t="s">
        <v>114</v>
      </c>
      <c r="H28" s="241"/>
      <c r="I28" s="245" t="s">
        <v>289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IF(D29&lt;27,"L",IF(D29&lt;=38,"",IF(D29&gt;38,"H")))</f>
        <v>L</v>
      </c>
      <c r="G29" s="241" t="s">
        <v>31</v>
      </c>
      <c r="H29" s="241"/>
      <c r="I29" s="245" t="s">
        <v>290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IF(D30&lt;83,"L",IF(D30&lt;=96,"",IF(D30&gt;96,"H")))</f>
        <v>L</v>
      </c>
      <c r="G30" s="241" t="s">
        <v>115</v>
      </c>
      <c r="H30" s="241"/>
      <c r="I30" s="241" t="s">
        <v>291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IF(D31&lt;28,"L",IF(D31&lt;=32,"",IF(D31&gt;32,"H")))</f>
        <v>L</v>
      </c>
      <c r="G31" s="241" t="s">
        <v>32</v>
      </c>
      <c r="H31" s="241"/>
      <c r="I31" s="241" t="s">
        <v>292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IF(D32&lt;32.3,"L",IF(D32&lt;=34.9,"",IF(D32&gt;34.9,"H")))</f>
        <v>L</v>
      </c>
      <c r="G32" s="241" t="s">
        <v>31</v>
      </c>
      <c r="H32" s="241"/>
      <c r="I32" s="241" t="s">
        <v>293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IF(D33&lt;0,"L",IF(D33&lt;16.1,"",IF(D33&gt;=16.1,"H")))</f>
        <v/>
      </c>
      <c r="G33" s="241" t="s">
        <v>31</v>
      </c>
      <c r="H33" s="241"/>
      <c r="I33" s="241" t="s">
        <v>294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IF(D36&lt;229,"L",IF(D36&lt;=597,"",IF(D36&gt;597,"H")))</f>
        <v>L</v>
      </c>
      <c r="G36" s="241" t="s">
        <v>198</v>
      </c>
      <c r="H36" s="241"/>
      <c r="I36" s="243" t="s">
        <v>295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IF(D37&lt;9.2,"L",IF(D37&lt;=11.1,"",IF(D37&gt;11.1,"H")))</f>
        <v>L</v>
      </c>
      <c r="G37" s="241" t="s">
        <v>115</v>
      </c>
      <c r="H37" s="241"/>
      <c r="I37" s="245" t="s">
        <v>296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IF(D42&lt;50,"L",IF(D42&lt;=70,"",IF(D42&gt;=70,"H")))</f>
        <v>L</v>
      </c>
      <c r="G42" s="52" t="s">
        <v>232</v>
      </c>
      <c r="H42" s="97"/>
      <c r="I42" s="138" t="s">
        <v>198</v>
      </c>
      <c r="J42" s="28" t="str">
        <f>IF(H42&lt;1,"L",IF(H42&lt;=4.7,"",IF(H42&gt;4.7,"H")))</f>
        <v>L</v>
      </c>
      <c r="K42" s="139" t="s">
        <v>297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IF(D43&lt;20,"L",IF(D43&lt;=60,"",IF(D43&gt;60,"H")))</f>
        <v>L</v>
      </c>
      <c r="G43" s="52" t="s">
        <v>233</v>
      </c>
      <c r="H43" s="97"/>
      <c r="I43" s="138" t="s">
        <v>198</v>
      </c>
      <c r="J43" s="28" t="str">
        <f>IF(H43&lt;2.3,"L",IF(H43&lt;=9.1,"",IF(H43&gt;9.1,"H")))</f>
        <v>L</v>
      </c>
      <c r="K43" s="139" t="s">
        <v>298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IF(D44&lt;3,"L",IF(D44&lt;=12,"",IF(D44&gt;12,"H")))</f>
        <v>L</v>
      </c>
      <c r="G44" s="56" t="s">
        <v>234</v>
      </c>
      <c r="H44" s="97"/>
      <c r="I44" s="138" t="s">
        <v>198</v>
      </c>
      <c r="J44" s="28" t="str">
        <f>IF(H44&lt;0.3,"L",IF(H44&lt;=1.2,"",IF(H44&gt;1.2,"H")))</f>
        <v>L</v>
      </c>
      <c r="K44" s="139" t="s">
        <v>299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IF(H45&lt;0,"L",IF(H45&lt;=0.6,"",IF(H45&gt;0.6,"H")))</f>
        <v/>
      </c>
      <c r="K45" s="139" t="s">
        <v>300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IF(H47&lt;0,"L",IF(H47&lt;=0.1,"",IF(H47&gt;0.1,"H")))</f>
        <v/>
      </c>
      <c r="K47" s="139" t="s">
        <v>209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D26:E26"/>
    <mergeCell ref="G26:H26"/>
    <mergeCell ref="I26:K26"/>
    <mergeCell ref="D27:E27"/>
    <mergeCell ref="G27:H27"/>
    <mergeCell ref="I27:K27"/>
    <mergeCell ref="D28:E28"/>
    <mergeCell ref="G28:H28"/>
    <mergeCell ref="I28:K28"/>
    <mergeCell ref="D29:E29"/>
    <mergeCell ref="G29:H29"/>
    <mergeCell ref="I29:K29"/>
    <mergeCell ref="D30:E30"/>
    <mergeCell ref="G30:H30"/>
    <mergeCell ref="I30:K30"/>
    <mergeCell ref="D31:E31"/>
    <mergeCell ref="G31:H31"/>
    <mergeCell ref="I31:K31"/>
    <mergeCell ref="D32:E32"/>
    <mergeCell ref="G32:H32"/>
    <mergeCell ref="I32:K32"/>
    <mergeCell ref="D33:E33"/>
    <mergeCell ref="G33:H33"/>
    <mergeCell ref="I33:K33"/>
    <mergeCell ref="D35:E35"/>
    <mergeCell ref="D36:E36"/>
    <mergeCell ref="G36:H36"/>
    <mergeCell ref="I36:K36"/>
    <mergeCell ref="D37:E37"/>
    <mergeCell ref="G37:H37"/>
    <mergeCell ref="I37:K37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</mergeCells>
  <conditionalFormatting sqref="F25:F37 F41:F47">
    <cfRule type="containsText" dxfId="13" priority="3" operator="containsText" text="H">
      <formula>NOT(ISERROR(SEARCH("H",F25)))</formula>
    </cfRule>
    <cfRule type="containsText" dxfId="12" priority="4" operator="containsText" text="L">
      <formula>NOT(ISERROR(SEARCH("L",F25)))</formula>
    </cfRule>
  </conditionalFormatting>
  <conditionalFormatting sqref="J42:J47">
    <cfRule type="containsText" dxfId="11" priority="1" operator="containsText" text="H">
      <formula>NOT(ISERROR(SEARCH("H",J42)))</formula>
    </cfRule>
    <cfRule type="containsText" dxfId="10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E9CFEDFD-D6A5-4E63-A518-A796CE151375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C23B5-0403-413C-8B91-FDB92E27B992}">
  <dimension ref="A1:K135"/>
  <sheetViews>
    <sheetView view="pageLayout" topLeftCell="A40" zoomScaleNormal="100" workbookViewId="0">
      <selection activeCell="A56" sqref="A56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IF(D26&lt;7.8,"L",IF(D26&lt;=15.9,"",IF(D26&gt;15.9,"H")))</f>
        <v>L</v>
      </c>
      <c r="G26" s="241" t="s">
        <v>198</v>
      </c>
      <c r="H26" s="241"/>
      <c r="I26" s="241" t="s">
        <v>301</v>
      </c>
      <c r="J26" s="241"/>
      <c r="K26" s="242"/>
    </row>
    <row r="27" spans="1:11">
      <c r="A27" s="18" t="s">
        <v>62</v>
      </c>
      <c r="D27" s="260"/>
      <c r="E27" s="260"/>
      <c r="F27" s="28" t="str">
        <f>IF(D27&lt;3.2,"L",IF(D27&lt;=4.8,"",IF(D27&gt;4.8,"H")))</f>
        <v>L</v>
      </c>
      <c r="G27" s="241" t="s">
        <v>199</v>
      </c>
      <c r="H27" s="241"/>
      <c r="I27" s="241" t="s">
        <v>302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IF(D28&lt;10,"L",IF(D28&lt;=15.3,"",IF(D28&gt;15.3,"H")))</f>
        <v>L</v>
      </c>
      <c r="G28" s="241" t="s">
        <v>114</v>
      </c>
      <c r="H28" s="241"/>
      <c r="I28" s="245" t="s">
        <v>303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IF(D29&lt;30,"L",IF(D29&lt;=45,"",IF(D29&gt;45,"H")))</f>
        <v>L</v>
      </c>
      <c r="G29" s="241" t="s">
        <v>31</v>
      </c>
      <c r="H29" s="241"/>
      <c r="I29" s="245" t="s">
        <v>305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IF(D30&lt;89,"L",IF(D30&lt;=103,"",IF(D30&gt;103,"H")))</f>
        <v>L</v>
      </c>
      <c r="G30" s="241" t="s">
        <v>115</v>
      </c>
      <c r="H30" s="241"/>
      <c r="I30" s="241" t="s">
        <v>306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IF(D31&lt;30,"L",IF(D31&lt;=35,"",IF(D31&gt;35,"H")))</f>
        <v>L</v>
      </c>
      <c r="G31" s="241" t="s">
        <v>32</v>
      </c>
      <c r="H31" s="241"/>
      <c r="I31" s="241" t="s">
        <v>304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IF(D32&lt;32.7,"L",IF(D32&lt;=35.1,"",IF(D32&gt;35.1,"H")))</f>
        <v>L</v>
      </c>
      <c r="G32" s="241" t="s">
        <v>31</v>
      </c>
      <c r="H32" s="241"/>
      <c r="I32" s="241" t="s">
        <v>307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IF(D33&lt;0,"L",IF(D33&lt;16.8,"",IF(D33&gt;=16.8,"H")))</f>
        <v/>
      </c>
      <c r="G33" s="241" t="s">
        <v>31</v>
      </c>
      <c r="H33" s="241"/>
      <c r="I33" s="241" t="s">
        <v>308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IF(D36&lt;248,"L",IF(D36&lt;=586,"",IF(D36&gt;586,"H")))</f>
        <v>L</v>
      </c>
      <c r="G36" s="241" t="s">
        <v>198</v>
      </c>
      <c r="H36" s="241"/>
      <c r="I36" s="243" t="s">
        <v>309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IF(D37&lt;10,"L",IF(D37&lt;=12.2,"",IF(D37&gt;12.2,"H")))</f>
        <v>L</v>
      </c>
      <c r="G37" s="241" t="s">
        <v>115</v>
      </c>
      <c r="H37" s="241"/>
      <c r="I37" s="245" t="s">
        <v>310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IF(D42&lt;40,"L",IF(D42&lt;=80,"",IF(D42&gt;=80,"H")))</f>
        <v>L</v>
      </c>
      <c r="G42" s="52" t="s">
        <v>315</v>
      </c>
      <c r="H42" s="97"/>
      <c r="I42" s="138" t="s">
        <v>198</v>
      </c>
      <c r="J42" s="28" t="str">
        <f>IF(H42&lt;1.2,"L",IF(H42&lt;=5.5,"",IF(H42&gt;5.5,"H")))</f>
        <v>L</v>
      </c>
      <c r="K42" s="139" t="s">
        <v>311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IF(D43&lt;10,"L",IF(D43&lt;=60,"",IF(D43&gt;60,"H")))</f>
        <v>L</v>
      </c>
      <c r="G43" s="52" t="s">
        <v>316</v>
      </c>
      <c r="H43" s="97"/>
      <c r="I43" s="138" t="s">
        <v>198</v>
      </c>
      <c r="J43" s="28" t="str">
        <f>IF(H43&lt;2.1,"L",IF(H43&lt;=8.4,"",IF(H43&gt;8.4,"H")))</f>
        <v>L</v>
      </c>
      <c r="K43" s="139" t="s">
        <v>312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IF(D44&lt;3,"L",IF(D44&lt;=13,"",IF(D44&gt;13,"H")))</f>
        <v>L</v>
      </c>
      <c r="G44" s="56" t="s">
        <v>317</v>
      </c>
      <c r="H44" s="97"/>
      <c r="I44" s="138" t="s">
        <v>198</v>
      </c>
      <c r="J44" s="28" t="str">
        <f>IF(H44&lt;0.3,"L",IF(H44&lt;=1.4,"",IF(H44&gt;1.4,"H")))</f>
        <v>L</v>
      </c>
      <c r="K44" s="139" t="s">
        <v>313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IF(H45&lt;0,"L",IF(H45&lt;=0.8,"",IF(H45&gt;0.8,"H")))</f>
        <v/>
      </c>
      <c r="K45" s="139" t="s">
        <v>273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IF(H47&lt;0,"L",IF(H47&lt;=0.2,"",IF(H47&gt;0.2,"H")))</f>
        <v/>
      </c>
      <c r="K47" s="139" t="s">
        <v>314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D26:E26"/>
    <mergeCell ref="G26:H26"/>
    <mergeCell ref="I26:K26"/>
    <mergeCell ref="D27:E27"/>
    <mergeCell ref="G27:H27"/>
    <mergeCell ref="I27:K27"/>
    <mergeCell ref="D28:E28"/>
    <mergeCell ref="G28:H28"/>
    <mergeCell ref="I28:K28"/>
    <mergeCell ref="D29:E29"/>
    <mergeCell ref="G29:H29"/>
    <mergeCell ref="I29:K29"/>
    <mergeCell ref="D30:E30"/>
    <mergeCell ref="G30:H30"/>
    <mergeCell ref="I30:K30"/>
    <mergeCell ref="D31:E31"/>
    <mergeCell ref="G31:H31"/>
    <mergeCell ref="I31:K31"/>
    <mergeCell ref="D32:E32"/>
    <mergeCell ref="G32:H32"/>
    <mergeCell ref="I32:K32"/>
    <mergeCell ref="D33:E33"/>
    <mergeCell ref="G33:H33"/>
    <mergeCell ref="I33:K33"/>
    <mergeCell ref="D35:E35"/>
    <mergeCell ref="D36:E36"/>
    <mergeCell ref="G36:H36"/>
    <mergeCell ref="I36:K36"/>
    <mergeCell ref="D37:E37"/>
    <mergeCell ref="G37:H37"/>
    <mergeCell ref="I37:K37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</mergeCells>
  <conditionalFormatting sqref="F25:F37 F41:F47">
    <cfRule type="containsText" dxfId="9" priority="3" operator="containsText" text="H">
      <formula>NOT(ISERROR(SEARCH("H",F25)))</formula>
    </cfRule>
    <cfRule type="containsText" dxfId="8" priority="4" operator="containsText" text="L">
      <formula>NOT(ISERROR(SEARCH("L",F25)))</formula>
    </cfRule>
  </conditionalFormatting>
  <conditionalFormatting sqref="J42:J47">
    <cfRule type="containsText" dxfId="7" priority="1" operator="containsText" text="H">
      <formula>NOT(ISERROR(SEARCH("H",J42)))</formula>
    </cfRule>
    <cfRule type="containsText" dxfId="6" priority="2" operator="containsText" text="L">
      <formula>NOT(ISERROR(SEARCH("L",J42)))</formula>
    </cfRule>
  </conditionalFormatting>
  <dataValidations count="1">
    <dataValidation type="list" allowBlank="1" showInputMessage="1" showErrorMessage="1" sqref="A53:D53" xr:uid="{0213C81D-6E23-48D7-B866-1697C6C0232A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E9F61-23CA-4263-8763-2542DB50E0E8}">
  <dimension ref="A1:K135"/>
  <sheetViews>
    <sheetView view="pageLayout" topLeftCell="A49" zoomScaleNormal="100" workbookViewId="0">
      <selection activeCell="A55" sqref="A55:D55"/>
    </sheetView>
  </sheetViews>
  <sheetFormatPr defaultColWidth="9.21875" defaultRowHeight="14.4"/>
  <cols>
    <col min="1" max="2" width="9" customWidth="1"/>
    <col min="3" max="3" width="8" customWidth="1"/>
    <col min="4" max="4" width="11.44140625" customWidth="1"/>
    <col min="5" max="5" width="6.109375" customWidth="1"/>
    <col min="6" max="6" width="7.109375" customWidth="1"/>
    <col min="7" max="7" width="12.88671875" customWidth="1"/>
    <col min="8" max="8" width="11.33203125" customWidth="1"/>
    <col min="9" max="9" width="6.109375" customWidth="1"/>
    <col min="10" max="10" width="7.109375" customWidth="1"/>
    <col min="11" max="11" width="12.8867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22.65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>
      <c r="A17" s="176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5" thickBot="1">
      <c r="A18" s="182"/>
      <c r="B18" s="183"/>
      <c r="C18" s="198"/>
      <c r="D18" s="179">
        <f ca="1">INT((TODAY()-A18)/365.25)</f>
        <v>126</v>
      </c>
      <c r="E18" s="181"/>
      <c r="F18" s="179" t="s">
        <v>57</v>
      </c>
      <c r="G18" s="181"/>
      <c r="H18" s="179"/>
      <c r="I18" s="180"/>
      <c r="J18" s="180"/>
      <c r="K18" s="181"/>
    </row>
    <row r="19" spans="1:11" ht="14.4" customHeight="1">
      <c r="A19" s="19" t="s">
        <v>20</v>
      </c>
      <c r="B19" s="2"/>
      <c r="C19" s="2"/>
      <c r="D19" s="2"/>
      <c r="E19" s="3"/>
      <c r="F19" s="20" t="s">
        <v>19</v>
      </c>
      <c r="J19" s="19" t="s">
        <v>21</v>
      </c>
      <c r="K19" s="3"/>
    </row>
    <row r="20" spans="1:11" ht="15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268" t="s">
        <v>29</v>
      </c>
      <c r="B21" s="269"/>
      <c r="C21" s="269"/>
      <c r="D21" s="269"/>
      <c r="E21" s="269"/>
      <c r="F21" s="269"/>
      <c r="G21" s="269"/>
      <c r="H21" s="269"/>
      <c r="I21" s="269"/>
      <c r="J21" s="269"/>
      <c r="K21" s="270"/>
    </row>
    <row r="22" spans="1:11" ht="11.25" customHeight="1" thickBot="1">
      <c r="A22" s="271"/>
      <c r="B22" s="272"/>
      <c r="C22" s="272"/>
      <c r="D22" s="272"/>
      <c r="E22" s="272"/>
      <c r="F22" s="272"/>
      <c r="G22" s="272"/>
      <c r="H22" s="272"/>
      <c r="I22" s="272"/>
      <c r="J22" s="272"/>
      <c r="K22" s="273"/>
    </row>
    <row r="23" spans="1:11" s="45" customFormat="1" ht="14.1" customHeight="1" thickBot="1">
      <c r="A23" s="274" t="s">
        <v>30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ht="14.1" customHeight="1" thickBot="1">
      <c r="A24" s="277" t="s">
        <v>18</v>
      </c>
      <c r="B24" s="267"/>
      <c r="C24" s="278"/>
      <c r="D24" s="277" t="s">
        <v>9</v>
      </c>
      <c r="E24" s="278"/>
      <c r="F24" s="37" t="s">
        <v>24</v>
      </c>
      <c r="G24" s="277" t="s">
        <v>10</v>
      </c>
      <c r="H24" s="278"/>
      <c r="I24" s="277" t="s">
        <v>11</v>
      </c>
      <c r="J24" s="267"/>
      <c r="K24" s="278"/>
    </row>
    <row r="25" spans="1:11">
      <c r="A25" s="17" t="s">
        <v>186</v>
      </c>
      <c r="D25" s="202"/>
      <c r="E25" s="202"/>
      <c r="J25" s="9"/>
      <c r="K25" s="5"/>
    </row>
    <row r="26" spans="1:11">
      <c r="A26" s="18" t="s">
        <v>61</v>
      </c>
      <c r="D26" s="260"/>
      <c r="E26" s="260"/>
      <c r="F26" s="28" t="str">
        <f>IF(D26&lt;8.5,"L",IF(D26&lt;=15.4,"",IF(D26&gt;15.4,"H")))</f>
        <v>L</v>
      </c>
      <c r="G26" s="241" t="s">
        <v>198</v>
      </c>
      <c r="H26" s="241"/>
      <c r="I26" s="241" t="s">
        <v>318</v>
      </c>
      <c r="J26" s="241"/>
      <c r="K26" s="242"/>
    </row>
    <row r="27" spans="1:11">
      <c r="A27" s="18" t="s">
        <v>62</v>
      </c>
      <c r="D27" s="260"/>
      <c r="E27" s="260"/>
      <c r="F27" s="28" t="str">
        <f>IF(D27&lt;4.1,"L",IF(D27&lt;=5.7,"",IF(D27&gt;5.7,"H")))</f>
        <v>L</v>
      </c>
      <c r="G27" s="241" t="s">
        <v>199</v>
      </c>
      <c r="H27" s="241"/>
      <c r="I27" s="241" t="s">
        <v>319</v>
      </c>
      <c r="J27" s="241"/>
      <c r="K27" s="242"/>
    </row>
    <row r="28" spans="1:11">
      <c r="A28" s="18" t="s">
        <v>63</v>
      </c>
      <c r="B28" s="12"/>
      <c r="D28" s="260"/>
      <c r="E28" s="260"/>
      <c r="F28" s="28" t="str">
        <f>IF(D28&lt;13.4,"L",IF(D28&lt;=20,"",IF(D28&gt;20,"H")))</f>
        <v>L</v>
      </c>
      <c r="G28" s="241" t="s">
        <v>114</v>
      </c>
      <c r="H28" s="241"/>
      <c r="I28" s="245" t="s">
        <v>320</v>
      </c>
      <c r="J28" s="245"/>
      <c r="K28" s="246"/>
    </row>
    <row r="29" spans="1:11">
      <c r="A29" s="18" t="s">
        <v>64</v>
      </c>
      <c r="B29" s="12"/>
      <c r="D29" s="260"/>
      <c r="E29" s="260"/>
      <c r="F29" s="28" t="str">
        <f>IF(D29&lt;40,"L",IF(D29&lt;=57,"",IF(D29&gt;57,"H")))</f>
        <v>L</v>
      </c>
      <c r="G29" s="241" t="s">
        <v>31</v>
      </c>
      <c r="H29" s="241"/>
      <c r="I29" s="245" t="s">
        <v>321</v>
      </c>
      <c r="J29" s="245"/>
      <c r="K29" s="246"/>
    </row>
    <row r="30" spans="1:11" ht="13.35" customHeight="1">
      <c r="A30" s="18" t="s">
        <v>178</v>
      </c>
      <c r="B30" s="12"/>
      <c r="D30" s="260"/>
      <c r="E30" s="260"/>
      <c r="F30" s="28" t="str">
        <f>IF(D30&lt;91,"L",IF(D30&lt;=106,"",IF(D30&gt;106,"H")))</f>
        <v>L</v>
      </c>
      <c r="G30" s="241" t="s">
        <v>115</v>
      </c>
      <c r="H30" s="241"/>
      <c r="I30" s="241" t="s">
        <v>322</v>
      </c>
      <c r="J30" s="241"/>
      <c r="K30" s="242"/>
    </row>
    <row r="31" spans="1:11">
      <c r="A31" s="18" t="s">
        <v>179</v>
      </c>
      <c r="D31" s="260"/>
      <c r="E31" s="260"/>
      <c r="F31" s="28" t="str">
        <f>IF(D31&lt;31,"L",IF(D31&lt;=36,"",IF(D31&gt;36,"H")))</f>
        <v>L</v>
      </c>
      <c r="G31" s="241" t="s">
        <v>32</v>
      </c>
      <c r="H31" s="241"/>
      <c r="I31" s="241" t="s">
        <v>323</v>
      </c>
      <c r="J31" s="241"/>
      <c r="K31" s="242"/>
    </row>
    <row r="32" spans="1:11">
      <c r="A32" s="18" t="s">
        <v>180</v>
      </c>
      <c r="D32" s="260"/>
      <c r="E32" s="260"/>
      <c r="F32" s="28" t="str">
        <f>IF(D32&lt;33,"L",IF(D32&lt;=35.7,"",IF(D32&gt;35.7,"H")))</f>
        <v>L</v>
      </c>
      <c r="G32" s="241" t="s">
        <v>31</v>
      </c>
      <c r="H32" s="241"/>
      <c r="I32" s="241" t="s">
        <v>324</v>
      </c>
      <c r="J32" s="241"/>
      <c r="K32" s="242"/>
    </row>
    <row r="33" spans="1:11">
      <c r="A33" s="18" t="s">
        <v>181</v>
      </c>
      <c r="D33" s="260"/>
      <c r="E33" s="260"/>
      <c r="F33" s="28" t="str">
        <f>IF(D33&lt;0,"L",IF(D33&lt;17.3,"",IF(D33&gt;=17.3,"H")))</f>
        <v/>
      </c>
      <c r="G33" s="241" t="s">
        <v>31</v>
      </c>
      <c r="H33" s="241"/>
      <c r="I33" s="241" t="s">
        <v>325</v>
      </c>
      <c r="J33" s="241"/>
      <c r="K33" s="242"/>
    </row>
    <row r="34" spans="1:11" ht="5.55" customHeight="1">
      <c r="A34" s="18"/>
      <c r="D34" s="41"/>
      <c r="E34" s="41"/>
      <c r="F34" s="28"/>
      <c r="G34" s="9"/>
      <c r="J34" s="9"/>
      <c r="K34" s="5"/>
    </row>
    <row r="35" spans="1:11">
      <c r="A35" s="16" t="s">
        <v>187</v>
      </c>
      <c r="B35" s="12"/>
      <c r="D35" s="259"/>
      <c r="E35" s="259"/>
      <c r="F35" s="36"/>
      <c r="G35" s="11"/>
      <c r="J35" s="9"/>
      <c r="K35" s="5"/>
    </row>
    <row r="36" spans="1:11">
      <c r="A36" s="18" t="s">
        <v>65</v>
      </c>
      <c r="B36" s="12"/>
      <c r="D36" s="260"/>
      <c r="E36" s="260"/>
      <c r="F36" s="28" t="str">
        <f>IF(D36&lt;144,"L",IF(D36&lt;=449,"",IF(D36&gt;449,"H")))</f>
        <v>L</v>
      </c>
      <c r="G36" s="241" t="s">
        <v>198</v>
      </c>
      <c r="H36" s="241"/>
      <c r="I36" s="243" t="s">
        <v>326</v>
      </c>
      <c r="J36" s="243"/>
      <c r="K36" s="244"/>
    </row>
    <row r="37" spans="1:11">
      <c r="A37" s="57" t="s">
        <v>116</v>
      </c>
      <c r="D37" s="260"/>
      <c r="E37" s="260"/>
      <c r="F37" s="28" t="str">
        <f>IF(D37&lt;10.2,"L",IF(D37&lt;=12,"",IF(D37&gt;12,"H")))</f>
        <v>L</v>
      </c>
      <c r="G37" s="241" t="s">
        <v>115</v>
      </c>
      <c r="H37" s="241"/>
      <c r="I37" s="245" t="s">
        <v>327</v>
      </c>
      <c r="J37" s="245"/>
      <c r="K37" s="246"/>
    </row>
    <row r="38" spans="1:11" ht="5.55" customHeight="1" thickBot="1">
      <c r="A38" s="4"/>
      <c r="K38" s="5"/>
    </row>
    <row r="39" spans="1:11" ht="14.1" customHeight="1" thickBot="1">
      <c r="A39" s="247" t="s">
        <v>18</v>
      </c>
      <c r="B39" s="248"/>
      <c r="C39" s="249"/>
      <c r="D39" s="267" t="s">
        <v>9</v>
      </c>
      <c r="E39" s="267"/>
      <c r="F39" s="253" t="s">
        <v>24</v>
      </c>
      <c r="G39" s="255" t="s">
        <v>11</v>
      </c>
      <c r="H39" s="265" t="s">
        <v>9</v>
      </c>
      <c r="I39" s="266"/>
      <c r="J39" s="253" t="s">
        <v>24</v>
      </c>
      <c r="K39" s="255" t="s">
        <v>11</v>
      </c>
    </row>
    <row r="40" spans="1:11" ht="14.1" customHeight="1" thickBot="1">
      <c r="A40" s="250"/>
      <c r="B40" s="251"/>
      <c r="C40" s="252"/>
      <c r="D40" s="257" t="s">
        <v>196</v>
      </c>
      <c r="E40" s="258"/>
      <c r="F40" s="254"/>
      <c r="G40" s="256"/>
      <c r="H40" s="257" t="s">
        <v>197</v>
      </c>
      <c r="I40" s="258"/>
      <c r="J40" s="254"/>
      <c r="K40" s="256"/>
    </row>
    <row r="41" spans="1:11">
      <c r="A41" s="16" t="s">
        <v>210</v>
      </c>
      <c r="B41" s="12"/>
      <c r="D41" s="21"/>
      <c r="E41" s="21"/>
      <c r="F41" s="36"/>
      <c r="G41" s="11"/>
      <c r="J41" s="9"/>
      <c r="K41" s="5"/>
    </row>
    <row r="42" spans="1:11" ht="14.4" customHeight="1">
      <c r="A42" s="18" t="s">
        <v>190</v>
      </c>
      <c r="B42" s="12"/>
      <c r="D42" s="97"/>
      <c r="E42" s="9" t="s">
        <v>31</v>
      </c>
      <c r="F42" s="28" t="str">
        <f>IF(D42&lt;40,"L",IF(D42&lt;=80,"",IF(D42&gt;=80,"H")))</f>
        <v>L</v>
      </c>
      <c r="G42" s="52" t="s">
        <v>315</v>
      </c>
      <c r="H42" s="97"/>
      <c r="I42" s="138" t="s">
        <v>198</v>
      </c>
      <c r="J42" s="28" t="str">
        <f>IF(H42&lt;1.6,"L",IF(H42&lt;=6.8,"",IF(H42&gt;6.8,"H")))</f>
        <v>L</v>
      </c>
      <c r="K42" s="139" t="s">
        <v>328</v>
      </c>
    </row>
    <row r="43" spans="1:11" ht="14.4" customHeight="1">
      <c r="A43" s="18" t="s">
        <v>191</v>
      </c>
      <c r="B43" s="12"/>
      <c r="D43" s="97"/>
      <c r="E43" s="9" t="s">
        <v>31</v>
      </c>
      <c r="F43" s="28" t="str">
        <f>IF(D43&lt;10,"L",IF(D43&lt;=60,"",IF(D43&gt;60,"H")))</f>
        <v>L</v>
      </c>
      <c r="G43" s="52" t="s">
        <v>316</v>
      </c>
      <c r="H43" s="97"/>
      <c r="I43" s="138" t="s">
        <v>198</v>
      </c>
      <c r="J43" s="28" t="str">
        <f>IF(H43&lt;1.8,"L",IF(H43&lt;=8,"",IF(H43&gt;8,"H")))</f>
        <v>L</v>
      </c>
      <c r="K43" s="139" t="s">
        <v>329</v>
      </c>
    </row>
    <row r="44" spans="1:11" ht="14.4" customHeight="1">
      <c r="A44" s="18" t="s">
        <v>192</v>
      </c>
      <c r="B44" s="12"/>
      <c r="D44" s="97"/>
      <c r="E44" s="9" t="s">
        <v>31</v>
      </c>
      <c r="F44" s="28" t="str">
        <f>IF(D44&lt;3,"L",IF(D44&lt;=13,"",IF(D44&gt;13,"H")))</f>
        <v>L</v>
      </c>
      <c r="G44" s="56" t="s">
        <v>317</v>
      </c>
      <c r="H44" s="97"/>
      <c r="I44" s="138" t="s">
        <v>198</v>
      </c>
      <c r="J44" s="28" t="str">
        <f>IF(H44&lt;0.5,"L",IF(H44&lt;=1.8,"",IF(H44&gt;1.8,"H")))</f>
        <v>L</v>
      </c>
      <c r="K44" s="139" t="s">
        <v>330</v>
      </c>
    </row>
    <row r="45" spans="1:11" ht="14.4" customHeight="1">
      <c r="A45" s="18" t="s">
        <v>193</v>
      </c>
      <c r="B45" s="12"/>
      <c r="D45" s="97"/>
      <c r="E45" s="9" t="s">
        <v>31</v>
      </c>
      <c r="F45" s="28" t="str">
        <f>IF(D45&lt;0.5,"L",IF(D45&lt;=5,"",IF(D45&gt;5,"H")))</f>
        <v>L</v>
      </c>
      <c r="G45" s="9" t="s">
        <v>235</v>
      </c>
      <c r="H45" s="97"/>
      <c r="I45" s="138" t="s">
        <v>198</v>
      </c>
      <c r="J45" s="28" t="str">
        <f>IF(H45&lt;0.1,"L",IF(H45&lt;=0.7,"",IF(H45&gt;0.7,"H")))</f>
        <v>L</v>
      </c>
      <c r="K45" s="139" t="s">
        <v>331</v>
      </c>
    </row>
    <row r="46" spans="1:11" ht="14.4" customHeight="1">
      <c r="A46" s="18" t="s">
        <v>194</v>
      </c>
      <c r="B46" s="12"/>
      <c r="D46" s="97"/>
      <c r="E46" s="9" t="s">
        <v>31</v>
      </c>
      <c r="F46" s="27" t="str">
        <f>IF(D46&lt;0,"L",IF(D46&lt;=1,"",IF(D46&gt;1,"H")))</f>
        <v/>
      </c>
      <c r="G46" s="9" t="s">
        <v>204</v>
      </c>
      <c r="H46" s="97"/>
      <c r="I46" s="138" t="s">
        <v>198</v>
      </c>
      <c r="J46" s="28" t="str">
        <f>IF(H46&lt;0,"L",IF(H46&lt;=0.1,"",IF(H46&gt;0.1,"H")))</f>
        <v/>
      </c>
      <c r="K46" s="139" t="s">
        <v>209</v>
      </c>
    </row>
    <row r="47" spans="1:11" ht="14.4" customHeight="1">
      <c r="A47" s="18" t="s">
        <v>195</v>
      </c>
      <c r="B47" s="12"/>
      <c r="D47" s="97"/>
      <c r="E47" s="9" t="s">
        <v>31</v>
      </c>
      <c r="F47" s="27" t="str">
        <f>IF(D47&lt;0,"L",IF(D47&lt;=1,"",IF(D47&gt;1,"H")))</f>
        <v/>
      </c>
      <c r="G47" s="9" t="s">
        <v>204</v>
      </c>
      <c r="H47" s="97"/>
      <c r="I47" s="138" t="s">
        <v>198</v>
      </c>
      <c r="J47" s="28" t="str">
        <f>IF(H47&lt;0,"L",IF(H47&lt;=0.3,"",IF(H47&gt;0.3,"H")))</f>
        <v/>
      </c>
      <c r="K47" s="139" t="s">
        <v>332</v>
      </c>
    </row>
    <row r="48" spans="1:11" s="45" customFormat="1" ht="11.25" customHeight="1" thickBot="1">
      <c r="A48" s="262" t="s">
        <v>12</v>
      </c>
      <c r="B48" s="263"/>
      <c r="C48" s="263"/>
      <c r="D48" s="263"/>
      <c r="E48" s="263"/>
      <c r="F48" s="263"/>
      <c r="G48" s="263"/>
      <c r="H48" s="263"/>
      <c r="I48" s="263"/>
      <c r="J48" s="263"/>
      <c r="K48" s="264"/>
    </row>
    <row r="49" spans="1:11">
      <c r="A49" s="261" t="s">
        <v>13</v>
      </c>
      <c r="B49" s="261"/>
      <c r="C49" s="229"/>
      <c r="D49" s="229"/>
      <c r="E49" s="229"/>
      <c r="F49" s="229"/>
      <c r="G49" s="229"/>
      <c r="H49" s="229"/>
      <c r="I49" s="229"/>
      <c r="J49" s="229"/>
      <c r="K49" s="229"/>
    </row>
    <row r="50" spans="1:11" ht="5.55" customHeight="1"/>
    <row r="51" spans="1:11">
      <c r="A51" s="14" t="s">
        <v>14</v>
      </c>
      <c r="E51" s="15" t="s">
        <v>16</v>
      </c>
      <c r="I51" s="15" t="s">
        <v>17</v>
      </c>
    </row>
    <row r="52" spans="1:11">
      <c r="I52" s="31"/>
    </row>
    <row r="53" spans="1:11">
      <c r="A53" s="218" t="s">
        <v>25</v>
      </c>
      <c r="B53" s="218"/>
      <c r="C53" s="218"/>
      <c r="D53" s="218"/>
      <c r="E53" s="218" t="s">
        <v>171</v>
      </c>
      <c r="F53" s="218"/>
      <c r="G53" s="218"/>
      <c r="H53" s="218"/>
      <c r="I53" s="219" t="s">
        <v>120</v>
      </c>
      <c r="J53" s="219"/>
      <c r="K53" s="219"/>
    </row>
    <row r="54" spans="1:11">
      <c r="A54" s="230" t="s">
        <v>15</v>
      </c>
      <c r="B54" s="230"/>
      <c r="C54" s="230"/>
      <c r="D54" s="230"/>
      <c r="E54" s="231" t="s">
        <v>172</v>
      </c>
      <c r="F54" s="231"/>
      <c r="G54" s="231"/>
      <c r="H54" s="231"/>
      <c r="I54" s="231" t="s">
        <v>113</v>
      </c>
      <c r="J54" s="231"/>
      <c r="K54" s="231"/>
    </row>
    <row r="55" spans="1:11">
      <c r="A55" s="231" t="str">
        <f>IF(A53=A62,"Lic. No. 0091946",IF(A53=A63,"Lic. No. 0068902",IF(A53=A64,"Lic. No. 0081395",IF(A53=A65,"Lic. No. 0054465",IF(A53=A66,"Lic. No. 0060939")))))</f>
        <v>Lic. No. 0068902</v>
      </c>
      <c r="B55" s="231"/>
      <c r="C55" s="231"/>
      <c r="D55" s="231"/>
      <c r="E55" s="231" t="s">
        <v>173</v>
      </c>
      <c r="F55" s="231"/>
      <c r="G55" s="231"/>
      <c r="H55" s="231"/>
      <c r="I55" s="231" t="s">
        <v>121</v>
      </c>
      <c r="J55" s="231"/>
      <c r="K55" s="231"/>
    </row>
    <row r="57" spans="1:11">
      <c r="A57" s="32"/>
      <c r="B57" s="32"/>
      <c r="C57" s="32"/>
      <c r="D57" s="32"/>
    </row>
    <row r="58" spans="1:11">
      <c r="C58" s="32"/>
      <c r="D58" s="32"/>
    </row>
    <row r="59" spans="1:11" ht="14.4" customHeight="1">
      <c r="C59" s="32"/>
      <c r="D59" s="32"/>
    </row>
    <row r="62" spans="1:11">
      <c r="A62" s="33" t="s">
        <v>616</v>
      </c>
      <c r="B62" s="33" t="s">
        <v>617</v>
      </c>
    </row>
    <row r="63" spans="1:11">
      <c r="A63" s="34" t="s">
        <v>25</v>
      </c>
      <c r="B63" s="35" t="s">
        <v>26</v>
      </c>
    </row>
    <row r="64" spans="1:11">
      <c r="A64" s="34" t="s">
        <v>22</v>
      </c>
      <c r="B64" s="35" t="s">
        <v>23</v>
      </c>
    </row>
    <row r="65" spans="1:2">
      <c r="A65" t="s">
        <v>614</v>
      </c>
      <c r="B65" t="s">
        <v>615</v>
      </c>
    </row>
    <row r="66" spans="1:2">
      <c r="A66" t="s">
        <v>160</v>
      </c>
      <c r="B66" t="s">
        <v>161</v>
      </c>
    </row>
    <row r="127" spans="3:9">
      <c r="C127" s="22"/>
      <c r="D127" s="29"/>
      <c r="E127" s="24"/>
      <c r="H127" s="30"/>
      <c r="I127" s="26"/>
    </row>
    <row r="128" spans="3:9">
      <c r="C128" s="22"/>
      <c r="D128" s="29"/>
      <c r="E128" s="24"/>
      <c r="H128" s="30"/>
      <c r="I128" s="26"/>
    </row>
    <row r="129" spans="3:9">
      <c r="C129" s="22"/>
      <c r="D129" s="29"/>
      <c r="E129" s="24"/>
      <c r="H129" s="26"/>
    </row>
    <row r="130" spans="3:9">
      <c r="C130" s="22"/>
      <c r="D130" s="29"/>
      <c r="E130" s="24"/>
      <c r="H130" s="30"/>
      <c r="I130" s="26"/>
    </row>
    <row r="131" spans="3:9">
      <c r="C131" s="22"/>
      <c r="D131" s="23"/>
      <c r="E131" s="24"/>
      <c r="H131" s="25"/>
      <c r="I131" s="26"/>
    </row>
    <row r="132" spans="3:9">
      <c r="C132" s="22"/>
      <c r="D132" s="23"/>
      <c r="E132" s="24"/>
      <c r="H132" s="25"/>
      <c r="I132" s="26"/>
    </row>
    <row r="133" spans="3:9">
      <c r="C133" s="22"/>
      <c r="D133" s="23"/>
      <c r="E133" s="24"/>
      <c r="H133" s="25"/>
      <c r="I133" s="26"/>
    </row>
    <row r="134" spans="3:9">
      <c r="C134" s="22"/>
      <c r="D134" s="23"/>
      <c r="E134" s="24"/>
      <c r="H134" s="25"/>
      <c r="I134" s="26"/>
    </row>
    <row r="135" spans="3:9">
      <c r="C135" s="22"/>
      <c r="D135" s="23"/>
      <c r="E135" s="24"/>
      <c r="H135" s="25"/>
      <c r="I135" s="26"/>
    </row>
  </sheetData>
  <mergeCells count="86">
    <mergeCell ref="A9:K9"/>
    <mergeCell ref="A11:C11"/>
    <mergeCell ref="D11:F11"/>
    <mergeCell ref="G11:K11"/>
    <mergeCell ref="A12:C12"/>
    <mergeCell ref="D12:F12"/>
    <mergeCell ref="G12:I12"/>
    <mergeCell ref="J12:K12"/>
    <mergeCell ref="A14:C14"/>
    <mergeCell ref="E14:G14"/>
    <mergeCell ref="I14:K14"/>
    <mergeCell ref="A15:C15"/>
    <mergeCell ref="E15:G15"/>
    <mergeCell ref="I15:K15"/>
    <mergeCell ref="A17:C17"/>
    <mergeCell ref="D17:E17"/>
    <mergeCell ref="F17:G17"/>
    <mergeCell ref="H17:K17"/>
    <mergeCell ref="A18:C18"/>
    <mergeCell ref="D18:E18"/>
    <mergeCell ref="F18:G18"/>
    <mergeCell ref="H18:K18"/>
    <mergeCell ref="D25:E25"/>
    <mergeCell ref="A20:C20"/>
    <mergeCell ref="D20:E20"/>
    <mergeCell ref="F20:G20"/>
    <mergeCell ref="H20:I20"/>
    <mergeCell ref="A23:K23"/>
    <mergeCell ref="A24:C24"/>
    <mergeCell ref="D24:E24"/>
    <mergeCell ref="G24:H24"/>
    <mergeCell ref="I24:K24"/>
    <mergeCell ref="J20:K20"/>
    <mergeCell ref="A21:K22"/>
    <mergeCell ref="D26:E26"/>
    <mergeCell ref="G26:H26"/>
    <mergeCell ref="I26:K26"/>
    <mergeCell ref="D27:E27"/>
    <mergeCell ref="G27:H27"/>
    <mergeCell ref="I27:K27"/>
    <mergeCell ref="D28:E28"/>
    <mergeCell ref="G28:H28"/>
    <mergeCell ref="I28:K28"/>
    <mergeCell ref="D29:E29"/>
    <mergeCell ref="G29:H29"/>
    <mergeCell ref="I29:K29"/>
    <mergeCell ref="D30:E30"/>
    <mergeCell ref="G30:H30"/>
    <mergeCell ref="I30:K30"/>
    <mergeCell ref="D31:E31"/>
    <mergeCell ref="G31:H31"/>
    <mergeCell ref="I31:K31"/>
    <mergeCell ref="D32:E32"/>
    <mergeCell ref="G32:H32"/>
    <mergeCell ref="I32:K32"/>
    <mergeCell ref="D33:E33"/>
    <mergeCell ref="G33:H33"/>
    <mergeCell ref="I33:K33"/>
    <mergeCell ref="D35:E35"/>
    <mergeCell ref="D36:E36"/>
    <mergeCell ref="G36:H36"/>
    <mergeCell ref="I36:K36"/>
    <mergeCell ref="D37:E37"/>
    <mergeCell ref="G37:H37"/>
    <mergeCell ref="I37:K37"/>
    <mergeCell ref="K39:K40"/>
    <mergeCell ref="D40:E40"/>
    <mergeCell ref="H40:I40"/>
    <mergeCell ref="A48:K48"/>
    <mergeCell ref="A49:B49"/>
    <mergeCell ref="C49:K49"/>
    <mergeCell ref="A39:C40"/>
    <mergeCell ref="D39:E39"/>
    <mergeCell ref="F39:F40"/>
    <mergeCell ref="G39:G40"/>
    <mergeCell ref="H39:I39"/>
    <mergeCell ref="J39:J40"/>
    <mergeCell ref="A55:D55"/>
    <mergeCell ref="E55:H55"/>
    <mergeCell ref="I55:K55"/>
    <mergeCell ref="A53:D53"/>
    <mergeCell ref="E53:H53"/>
    <mergeCell ref="I53:K53"/>
    <mergeCell ref="A54:D54"/>
    <mergeCell ref="E54:H54"/>
    <mergeCell ref="I54:K54"/>
  </mergeCells>
  <conditionalFormatting sqref="F25:F37 F41:F47">
    <cfRule type="containsText" dxfId="5" priority="3" operator="containsText" text="H">
      <formula>NOT(ISERROR(SEARCH("H",F25)))</formula>
    </cfRule>
    <cfRule type="containsText" dxfId="4" priority="4" operator="containsText" text="L">
      <formula>NOT(ISERROR(SEARCH("L",F25)))</formula>
    </cfRule>
  </conditionalFormatting>
  <conditionalFormatting sqref="J42:J47">
    <cfRule type="containsText" dxfId="3" priority="1" operator="containsText" text="H">
      <formula>NOT(ISERROR(SEARCH("H",J42)))</formula>
    </cfRule>
    <cfRule type="containsText" dxfId="2" priority="2" operator="containsText" text="L">
      <formula>NOT(ISERROR(SEARCH("L",J42)))</formula>
    </cfRule>
  </conditionalFormatting>
  <dataValidations disablePrompts="1" count="1">
    <dataValidation type="list" allowBlank="1" showInputMessage="1" showErrorMessage="1" sqref="A53:D53" xr:uid="{C7B31868-6BB9-462B-B671-0BBB88F4DA79}">
      <formula1>$A$62:$A$66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&amp;RDOH-CHD7-CL-Form-10 Rev. 0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865D-5AE2-4F19-AA40-C88E7F21F8AF}">
  <dimension ref="A1:K128"/>
  <sheetViews>
    <sheetView view="pageLayout" topLeftCell="A43" zoomScaleNormal="100" workbookViewId="0">
      <selection activeCell="A46" sqref="A46:D46"/>
    </sheetView>
  </sheetViews>
  <sheetFormatPr defaultColWidth="9.44140625" defaultRowHeight="14.4"/>
  <cols>
    <col min="1" max="11" width="9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7.9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6500000000000004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>
        <f>A12</f>
        <v>0</v>
      </c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176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27</v>
      </c>
      <c r="G19" s="181"/>
      <c r="H19" s="179"/>
      <c r="I19" s="180"/>
      <c r="J19" s="180"/>
      <c r="K19" s="181"/>
    </row>
    <row r="20" spans="1:11" ht="14.4" customHeight="1">
      <c r="A20" s="19" t="s">
        <v>20</v>
      </c>
      <c r="B20" s="2"/>
      <c r="C20" s="2"/>
      <c r="D20" s="2"/>
      <c r="E20" s="3"/>
      <c r="F20" s="20" t="s">
        <v>19</v>
      </c>
      <c r="J20" s="19" t="s">
        <v>21</v>
      </c>
      <c r="K20" s="3"/>
    </row>
    <row r="21" spans="1:11" ht="15" thickBot="1">
      <c r="A21" s="182"/>
      <c r="B21" s="183"/>
      <c r="C21" s="183"/>
      <c r="D21" s="184">
        <v>0.375</v>
      </c>
      <c r="E21" s="185"/>
      <c r="F21" s="279"/>
      <c r="G21" s="280"/>
      <c r="H21" s="184">
        <v>0.41666666666666669</v>
      </c>
      <c r="I21" s="185"/>
      <c r="J21" s="137"/>
      <c r="K21" s="136"/>
    </row>
    <row r="22" spans="1:11" ht="14.4" customHeight="1">
      <c r="A22" s="268" t="s">
        <v>29</v>
      </c>
      <c r="B22" s="281"/>
      <c r="C22" s="281"/>
      <c r="D22" s="281"/>
      <c r="E22" s="281"/>
      <c r="F22" s="281"/>
      <c r="G22" s="281"/>
      <c r="H22" s="281"/>
      <c r="I22" s="281"/>
      <c r="J22" s="281"/>
      <c r="K22" s="282"/>
    </row>
    <row r="23" spans="1:11" ht="15" customHeight="1" thickBot="1">
      <c r="A23" s="283"/>
      <c r="B23" s="284"/>
      <c r="C23" s="284"/>
      <c r="D23" s="284"/>
      <c r="E23" s="284"/>
      <c r="F23" s="284"/>
      <c r="G23" s="284"/>
      <c r="H23" s="284"/>
      <c r="I23" s="284"/>
      <c r="J23" s="284"/>
      <c r="K23" s="285"/>
    </row>
    <row r="24" spans="1:11" ht="18" thickBot="1">
      <c r="A24" s="201" t="s">
        <v>170</v>
      </c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ht="15" thickBot="1">
      <c r="A25" s="277" t="s">
        <v>18</v>
      </c>
      <c r="B25" s="267"/>
      <c r="C25" s="267"/>
      <c r="D25" s="267"/>
      <c r="E25" s="278"/>
      <c r="F25" s="277" t="s">
        <v>9</v>
      </c>
      <c r="G25" s="267"/>
      <c r="H25" s="267"/>
      <c r="I25" s="267"/>
      <c r="J25" s="267"/>
      <c r="K25" s="278"/>
    </row>
    <row r="26" spans="1:11">
      <c r="A26" s="17"/>
      <c r="E26" s="5"/>
      <c r="F26" s="127"/>
      <c r="G26" s="127"/>
      <c r="H26" s="127"/>
      <c r="J26" s="9"/>
      <c r="K26" s="5"/>
    </row>
    <row r="27" spans="1:11">
      <c r="A27" s="18"/>
      <c r="D27" s="131"/>
      <c r="E27" s="130"/>
      <c r="F27" s="129"/>
      <c r="G27" s="128"/>
      <c r="H27" s="127"/>
      <c r="J27" s="9"/>
      <c r="K27" s="5"/>
    </row>
    <row r="28" spans="1:11">
      <c r="A28" s="18"/>
      <c r="D28" s="131"/>
      <c r="E28" s="130"/>
      <c r="F28" s="129"/>
      <c r="G28" s="128"/>
      <c r="H28" s="127"/>
      <c r="J28" s="9"/>
      <c r="K28" s="5"/>
    </row>
    <row r="29" spans="1:11">
      <c r="A29" s="18"/>
      <c r="B29" s="286" t="s">
        <v>169</v>
      </c>
      <c r="C29" s="286"/>
      <c r="D29" s="286"/>
      <c r="E29" s="130"/>
      <c r="F29" s="129"/>
      <c r="G29" s="128"/>
      <c r="H29" s="287" t="s">
        <v>168</v>
      </c>
      <c r="I29" s="287"/>
      <c r="J29" s="52"/>
      <c r="K29" s="5"/>
    </row>
    <row r="30" spans="1:11">
      <c r="A30" s="18"/>
      <c r="B30" s="286"/>
      <c r="C30" s="286"/>
      <c r="D30" s="286"/>
      <c r="E30" s="130"/>
      <c r="F30" s="129"/>
      <c r="G30" s="128"/>
      <c r="H30" s="287"/>
      <c r="I30" s="287"/>
      <c r="J30" s="9"/>
      <c r="K30" s="5"/>
    </row>
    <row r="31" spans="1:11">
      <c r="A31" s="18"/>
      <c r="B31" s="12"/>
      <c r="D31" s="131"/>
      <c r="E31" s="130"/>
      <c r="F31" s="129"/>
      <c r="G31" s="128"/>
      <c r="H31" s="127"/>
      <c r="J31" s="55"/>
      <c r="K31" s="5"/>
    </row>
    <row r="32" spans="1:11" ht="14.4" customHeight="1">
      <c r="A32" s="18"/>
      <c r="B32" s="46"/>
      <c r="C32" s="46"/>
      <c r="D32" s="46"/>
      <c r="E32" s="134"/>
      <c r="F32" s="133"/>
      <c r="G32" s="133"/>
      <c r="H32" s="135"/>
      <c r="I32" s="135"/>
      <c r="J32" s="135"/>
      <c r="K32" s="132"/>
    </row>
    <row r="33" spans="1:11" ht="13.35" customHeight="1">
      <c r="A33" s="18"/>
      <c r="B33" s="286" t="s">
        <v>167</v>
      </c>
      <c r="C33" s="286"/>
      <c r="D33" s="286"/>
      <c r="E33" s="134"/>
      <c r="F33" s="133"/>
      <c r="G33" s="288" t="s">
        <v>166</v>
      </c>
      <c r="H33" s="288"/>
      <c r="I33" s="288"/>
      <c r="J33" s="288"/>
      <c r="K33" s="132"/>
    </row>
    <row r="34" spans="1:11">
      <c r="A34" s="18"/>
      <c r="B34" s="286"/>
      <c r="C34" s="286"/>
      <c r="D34" s="286"/>
      <c r="E34" s="130"/>
      <c r="F34" s="129"/>
      <c r="G34" s="288"/>
      <c r="H34" s="288"/>
      <c r="I34" s="288"/>
      <c r="J34" s="288"/>
      <c r="K34" s="5"/>
    </row>
    <row r="35" spans="1:11">
      <c r="A35" s="18"/>
      <c r="D35" s="131"/>
      <c r="E35" s="130"/>
      <c r="F35" s="129"/>
      <c r="G35" s="128"/>
      <c r="H35" s="127"/>
      <c r="J35" s="9"/>
      <c r="K35" s="5"/>
    </row>
    <row r="36" spans="1:11">
      <c r="A36" s="18"/>
      <c r="D36" s="131"/>
      <c r="E36" s="130"/>
      <c r="F36" s="129"/>
      <c r="G36" s="128"/>
      <c r="H36" s="127"/>
      <c r="J36" s="9"/>
      <c r="K36" s="5"/>
    </row>
    <row r="37" spans="1:11">
      <c r="A37" s="18"/>
      <c r="B37" s="12"/>
      <c r="D37" s="131"/>
      <c r="E37" s="130"/>
      <c r="F37" s="129"/>
      <c r="G37" s="128"/>
      <c r="H37" s="127"/>
      <c r="J37" s="52"/>
      <c r="K37" s="5"/>
    </row>
    <row r="38" spans="1:11">
      <c r="A38" s="18"/>
      <c r="B38" s="12"/>
      <c r="D38" s="131"/>
      <c r="E38" s="130"/>
      <c r="F38" s="129"/>
      <c r="G38" s="128"/>
      <c r="H38" s="127"/>
      <c r="J38" s="56"/>
      <c r="K38" s="5"/>
    </row>
    <row r="39" spans="1:11">
      <c r="A39" s="18"/>
      <c r="B39" s="12"/>
      <c r="D39" s="131"/>
      <c r="E39" s="130"/>
      <c r="F39" s="129"/>
      <c r="G39" s="128"/>
      <c r="H39" s="127"/>
      <c r="J39" s="9"/>
      <c r="K39" s="5"/>
    </row>
    <row r="40" spans="1:11">
      <c r="A40" s="18"/>
      <c r="B40" s="12"/>
      <c r="D40" s="131"/>
      <c r="E40" s="130"/>
      <c r="F40" s="129"/>
      <c r="G40" s="128"/>
      <c r="H40" s="127"/>
      <c r="J40" s="9"/>
      <c r="K40" s="5"/>
    </row>
    <row r="41" spans="1:11" ht="15" thickBot="1">
      <c r="A41" s="232" t="s">
        <v>12</v>
      </c>
      <c r="B41" s="233"/>
      <c r="C41" s="233"/>
      <c r="D41" s="233"/>
      <c r="E41" s="233"/>
      <c r="F41" s="233"/>
      <c r="G41" s="233"/>
      <c r="H41" s="233"/>
      <c r="I41" s="233"/>
      <c r="J41" s="233"/>
      <c r="K41" s="234"/>
    </row>
    <row r="42" spans="1:11">
      <c r="A42" s="261" t="s">
        <v>13</v>
      </c>
      <c r="B42" s="261"/>
      <c r="C42" s="289"/>
      <c r="D42" s="289"/>
      <c r="E42" s="289"/>
      <c r="F42" s="289"/>
      <c r="G42" s="289"/>
      <c r="H42" s="289"/>
      <c r="I42" s="289"/>
      <c r="J42" s="289"/>
      <c r="K42" s="289"/>
    </row>
    <row r="43" spans="1:11" ht="9" customHeight="1"/>
    <row r="44" spans="1:11">
      <c r="A44" s="14" t="s">
        <v>14</v>
      </c>
      <c r="E44" s="15" t="s">
        <v>16</v>
      </c>
      <c r="I44" s="15" t="s">
        <v>17</v>
      </c>
    </row>
    <row r="45" spans="1:11">
      <c r="I45" s="31"/>
    </row>
    <row r="46" spans="1:11">
      <c r="A46" s="218" t="s">
        <v>25</v>
      </c>
      <c r="B46" s="218"/>
      <c r="C46" s="218"/>
      <c r="D46" s="218"/>
      <c r="E46" s="218" t="s">
        <v>171</v>
      </c>
      <c r="F46" s="218"/>
      <c r="G46" s="218"/>
      <c r="H46" s="218"/>
      <c r="I46" s="219" t="s">
        <v>120</v>
      </c>
      <c r="J46" s="219"/>
      <c r="K46" s="219"/>
    </row>
    <row r="47" spans="1:11">
      <c r="A47" s="230" t="s">
        <v>15</v>
      </c>
      <c r="B47" s="230"/>
      <c r="C47" s="230"/>
      <c r="D47" s="230"/>
      <c r="E47" s="231" t="s">
        <v>172</v>
      </c>
      <c r="F47" s="231"/>
      <c r="G47" s="231"/>
      <c r="H47" s="231"/>
      <c r="I47" s="231" t="s">
        <v>113</v>
      </c>
      <c r="J47" s="231"/>
      <c r="K47" s="231"/>
    </row>
    <row r="48" spans="1:11">
      <c r="A48" s="231" t="str">
        <f>IF(A46=A56,"Lic. No. 0091946",IF(A46=A57,"Lic. No. 0068902",IF(A46=A58,"Lic. No. 0081395",IF(A46=A59,"Lic. No. 0054465",IF(A46=A60,"Lic. No. 0060939")))))</f>
        <v>Lic. No. 0068902</v>
      </c>
      <c r="B48" s="231"/>
      <c r="C48" s="231"/>
      <c r="D48" s="231"/>
      <c r="E48" s="231" t="s">
        <v>173</v>
      </c>
      <c r="F48" s="231"/>
      <c r="G48" s="231"/>
      <c r="H48" s="231"/>
      <c r="I48" s="231" t="s">
        <v>121</v>
      </c>
      <c r="J48" s="231"/>
      <c r="K48" s="231"/>
    </row>
    <row r="50" spans="1:4">
      <c r="A50" s="32"/>
      <c r="B50" s="32"/>
      <c r="C50" s="32"/>
      <c r="D50" s="32"/>
    </row>
    <row r="51" spans="1:4">
      <c r="C51" s="32"/>
      <c r="D51" s="32"/>
    </row>
    <row r="52" spans="1:4" ht="14.4" customHeight="1">
      <c r="C52" s="32"/>
      <c r="D52" s="32"/>
    </row>
    <row r="56" spans="1:4">
      <c r="A56" s="33" t="s">
        <v>616</v>
      </c>
      <c r="B56" s="33" t="s">
        <v>617</v>
      </c>
    </row>
    <row r="57" spans="1:4">
      <c r="A57" s="34" t="s">
        <v>25</v>
      </c>
      <c r="B57" s="35" t="s">
        <v>26</v>
      </c>
    </row>
    <row r="58" spans="1:4">
      <c r="A58" s="34" t="s">
        <v>22</v>
      </c>
      <c r="B58" s="35" t="s">
        <v>23</v>
      </c>
    </row>
    <row r="59" spans="1:4">
      <c r="A59" t="s">
        <v>614</v>
      </c>
      <c r="B59" t="s">
        <v>615</v>
      </c>
    </row>
    <row r="60" spans="1:4">
      <c r="A60" t="s">
        <v>160</v>
      </c>
      <c r="B60" t="s">
        <v>161</v>
      </c>
    </row>
    <row r="64" spans="1:4">
      <c r="A64" t="s">
        <v>333</v>
      </c>
    </row>
    <row r="65" spans="1:1">
      <c r="A65" t="s">
        <v>334</v>
      </c>
    </row>
    <row r="66" spans="1:1">
      <c r="A66" t="s">
        <v>335</v>
      </c>
    </row>
    <row r="67" spans="1:1">
      <c r="A67" t="s">
        <v>168</v>
      </c>
    </row>
    <row r="69" spans="1:1">
      <c r="A69" t="s">
        <v>166</v>
      </c>
    </row>
    <row r="70" spans="1:1">
      <c r="A70" t="s">
        <v>91</v>
      </c>
    </row>
    <row r="120" spans="3:9">
      <c r="C120" s="22"/>
      <c r="D120" s="29"/>
      <c r="E120" s="24"/>
      <c r="H120" s="30"/>
      <c r="I120" s="26"/>
    </row>
    <row r="121" spans="3:9">
      <c r="C121" s="22"/>
      <c r="D121" s="29"/>
      <c r="E121" s="24"/>
      <c r="H121" s="30"/>
      <c r="I121" s="26"/>
    </row>
    <row r="122" spans="3:9">
      <c r="C122" s="22"/>
      <c r="D122" s="29"/>
      <c r="E122" s="24"/>
      <c r="H122" s="26"/>
    </row>
    <row r="123" spans="3:9">
      <c r="C123" s="22"/>
      <c r="D123" s="29"/>
      <c r="E123" s="24"/>
      <c r="H123" s="30"/>
      <c r="I123" s="26"/>
    </row>
    <row r="124" spans="3:9">
      <c r="C124" s="22"/>
      <c r="D124" s="23"/>
      <c r="E124" s="24"/>
      <c r="H124" s="25"/>
      <c r="I124" s="26"/>
    </row>
    <row r="125" spans="3:9">
      <c r="C125" s="22"/>
      <c r="D125" s="23"/>
      <c r="E125" s="24"/>
      <c r="H125" s="25"/>
      <c r="I125" s="26"/>
    </row>
    <row r="126" spans="3:9">
      <c r="C126" s="22"/>
      <c r="D126" s="23"/>
      <c r="E126" s="24"/>
      <c r="H126" s="25"/>
      <c r="I126" s="26"/>
    </row>
    <row r="127" spans="3:9">
      <c r="C127" s="22"/>
      <c r="D127" s="23"/>
      <c r="E127" s="24"/>
      <c r="H127" s="25"/>
      <c r="I127" s="26"/>
    </row>
    <row r="128" spans="3:9">
      <c r="C128" s="22"/>
      <c r="D128" s="23"/>
      <c r="E128" s="24"/>
      <c r="H128" s="25"/>
      <c r="I128" s="26"/>
    </row>
  </sheetData>
  <mergeCells count="46">
    <mergeCell ref="A48:D48"/>
    <mergeCell ref="E48:H48"/>
    <mergeCell ref="I48:K48"/>
    <mergeCell ref="A46:D46"/>
    <mergeCell ref="E46:H46"/>
    <mergeCell ref="I46:K46"/>
    <mergeCell ref="A47:D47"/>
    <mergeCell ref="E47:H47"/>
    <mergeCell ref="I47:K47"/>
    <mergeCell ref="B33:D34"/>
    <mergeCell ref="G33:J34"/>
    <mergeCell ref="A41:K41"/>
    <mergeCell ref="A42:B42"/>
    <mergeCell ref="C42:K42"/>
    <mergeCell ref="A24:K24"/>
    <mergeCell ref="A25:E25"/>
    <mergeCell ref="F25:K25"/>
    <mergeCell ref="B29:D30"/>
    <mergeCell ref="H29:I30"/>
    <mergeCell ref="A21:C21"/>
    <mergeCell ref="D21:E21"/>
    <mergeCell ref="F21:G21"/>
    <mergeCell ref="H21:I21"/>
    <mergeCell ref="A22:K23"/>
    <mergeCell ref="A18:C18"/>
    <mergeCell ref="D18:E18"/>
    <mergeCell ref="F18:G18"/>
    <mergeCell ref="H18:K18"/>
    <mergeCell ref="A19:C19"/>
    <mergeCell ref="D19:E19"/>
    <mergeCell ref="F19:G19"/>
    <mergeCell ref="H19:K19"/>
    <mergeCell ref="A15:C15"/>
    <mergeCell ref="E15:G15"/>
    <mergeCell ref="I15:K15"/>
    <mergeCell ref="A16:C16"/>
    <mergeCell ref="E16:G16"/>
    <mergeCell ref="I16:K16"/>
    <mergeCell ref="A9:K9"/>
    <mergeCell ref="A11:C11"/>
    <mergeCell ref="D11:F11"/>
    <mergeCell ref="G11:K11"/>
    <mergeCell ref="A12:C12"/>
    <mergeCell ref="D12:F12"/>
    <mergeCell ref="G12:I12"/>
    <mergeCell ref="J12:K12"/>
  </mergeCells>
  <conditionalFormatting sqref="F26:F31 F34:F40">
    <cfRule type="containsText" dxfId="1" priority="1" operator="containsText" text="H">
      <formula>NOT(ISERROR(SEARCH("H",F26)))</formula>
    </cfRule>
    <cfRule type="containsText" dxfId="0" priority="2" operator="containsText" text="L">
      <formula>NOT(ISERROR(SEARCH("L",F26)))</formula>
    </cfRule>
  </conditionalFormatting>
  <dataValidations count="3">
    <dataValidation type="list" allowBlank="1" showInputMessage="1" showErrorMessage="1" sqref="A46:D46" xr:uid="{D672E5CA-704C-4525-AB5F-3443484CA86F}">
      <formula1>$A$56:$A$60</formula1>
    </dataValidation>
    <dataValidation type="list" allowBlank="1" showInputMessage="1" showErrorMessage="1" sqref="H29:I30" xr:uid="{F00A1294-86FB-4EC1-B0C7-2AC3E313FFB7}">
      <formula1>$A$64:$A$67</formula1>
    </dataValidation>
    <dataValidation type="list" allowBlank="1" showInputMessage="1" showErrorMessage="1" sqref="G33:J34" xr:uid="{99116EEA-FEA8-4939-9C92-094DB3F11C32}">
      <formula1>$A$69:$A$70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&amp;RDOH-CHD7-CL-Form-11 Rev. 0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552-D53A-478A-A9CF-1CA07C692039}">
  <sheetPr codeName="Sheet6"/>
  <dimension ref="A1:K140"/>
  <sheetViews>
    <sheetView view="pageLayout" topLeftCell="A49" zoomScaleNormal="100" workbookViewId="0">
      <selection activeCell="A56" sqref="A56:D56"/>
    </sheetView>
  </sheetViews>
  <sheetFormatPr defaultColWidth="9.44140625" defaultRowHeight="14.4"/>
  <cols>
    <col min="1" max="10" width="9" customWidth="1"/>
    <col min="11" max="11" width="11.777343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2.7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4.1" customHeight="1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 ht="5.55" customHeight="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 ht="18.3" customHeight="1">
      <c r="A14" s="186"/>
      <c r="B14" s="187"/>
      <c r="C14" s="187"/>
      <c r="E14" s="187"/>
      <c r="F14" s="187"/>
      <c r="G14" s="187"/>
      <c r="I14" s="187"/>
      <c r="J14" s="187"/>
      <c r="K14" s="188"/>
    </row>
    <row r="15" spans="1:11" ht="12.75" customHeight="1">
      <c r="A15" s="189" t="s">
        <v>6</v>
      </c>
      <c r="B15" s="190"/>
      <c r="C15" s="190"/>
      <c r="D15" s="10"/>
      <c r="E15" s="190" t="s">
        <v>7</v>
      </c>
      <c r="F15" s="190"/>
      <c r="G15" s="190"/>
      <c r="H15" s="10"/>
      <c r="I15" s="190" t="s">
        <v>8</v>
      </c>
      <c r="J15" s="190"/>
      <c r="K15" s="191"/>
    </row>
    <row r="16" spans="1:11" ht="5.55" customHeight="1" thickBot="1">
      <c r="A16" s="6"/>
      <c r="B16" s="7"/>
      <c r="C16" s="7"/>
      <c r="D16" s="7"/>
      <c r="E16" s="7"/>
      <c r="F16" s="7"/>
      <c r="G16" s="7"/>
      <c r="H16" s="7"/>
      <c r="I16" s="7"/>
      <c r="J16" s="7"/>
      <c r="K16" s="8"/>
    </row>
    <row r="17" spans="1:11" ht="12.75" customHeight="1">
      <c r="A17" s="301" t="s">
        <v>498</v>
      </c>
      <c r="B17" s="177"/>
      <c r="C17" s="178"/>
      <c r="D17" s="176" t="s">
        <v>3</v>
      </c>
      <c r="E17" s="178"/>
      <c r="F17" s="176" t="s">
        <v>4</v>
      </c>
      <c r="G17" s="178"/>
      <c r="H17" s="176" t="s">
        <v>5</v>
      </c>
      <c r="I17" s="177"/>
      <c r="J17" s="177"/>
      <c r="K17" s="178"/>
    </row>
    <row r="18" spans="1:11" ht="14.1" customHeight="1" thickBot="1">
      <c r="A18" s="182"/>
      <c r="B18" s="183"/>
      <c r="C18" s="198"/>
      <c r="D18" s="179">
        <f ca="1">INT((TODAY()-A18)/365.25)</f>
        <v>126</v>
      </c>
      <c r="E18" s="181"/>
      <c r="F18" s="179" t="s">
        <v>28</v>
      </c>
      <c r="G18" s="181"/>
      <c r="H18" s="179"/>
      <c r="I18" s="180"/>
      <c r="J18" s="180"/>
      <c r="K18" s="181"/>
    </row>
    <row r="19" spans="1:11" ht="12.75" customHeight="1">
      <c r="A19" s="156" t="s">
        <v>501</v>
      </c>
      <c r="B19" s="2"/>
      <c r="C19" s="2"/>
      <c r="D19" s="2"/>
      <c r="E19" s="3"/>
      <c r="F19" s="12" t="s">
        <v>502</v>
      </c>
      <c r="J19" s="19" t="s">
        <v>21</v>
      </c>
      <c r="K19" s="3"/>
    </row>
    <row r="20" spans="1:11" ht="14.1" customHeight="1" thickBot="1">
      <c r="A20" s="182">
        <f>G12</f>
        <v>0</v>
      </c>
      <c r="B20" s="183"/>
      <c r="C20" s="183"/>
      <c r="D20" s="184">
        <v>0.375</v>
      </c>
      <c r="E20" s="185"/>
      <c r="F20" s="182">
        <f>A20</f>
        <v>0</v>
      </c>
      <c r="G20" s="183"/>
      <c r="H20" s="184">
        <v>0.45833333333333331</v>
      </c>
      <c r="I20" s="185"/>
      <c r="J20" s="199"/>
      <c r="K20" s="200"/>
    </row>
    <row r="21" spans="1:11" ht="11.25" customHeight="1">
      <c r="A21" s="302" t="s">
        <v>68</v>
      </c>
      <c r="B21" s="303"/>
      <c r="C21" s="303"/>
      <c r="D21" s="303"/>
      <c r="E21" s="303"/>
      <c r="F21" s="303"/>
      <c r="G21" s="303"/>
      <c r="H21" s="303"/>
      <c r="I21" s="303"/>
      <c r="J21" s="303"/>
      <c r="K21" s="304"/>
    </row>
    <row r="22" spans="1:11" ht="11.25" customHeight="1" thickBot="1">
      <c r="A22" s="305"/>
      <c r="B22" s="306"/>
      <c r="C22" s="306"/>
      <c r="D22" s="306"/>
      <c r="E22" s="306"/>
      <c r="F22" s="306"/>
      <c r="G22" s="306"/>
      <c r="H22" s="306"/>
      <c r="I22" s="306"/>
      <c r="J22" s="306"/>
      <c r="K22" s="307"/>
    </row>
    <row r="23" spans="1:11" s="45" customFormat="1" ht="14.1" customHeight="1" thickBot="1">
      <c r="A23" s="274" t="s">
        <v>69</v>
      </c>
      <c r="B23" s="275"/>
      <c r="C23" s="275"/>
      <c r="D23" s="275"/>
      <c r="E23" s="275"/>
      <c r="F23" s="275"/>
      <c r="G23" s="275"/>
      <c r="H23" s="275"/>
      <c r="I23" s="275"/>
      <c r="J23" s="275"/>
      <c r="K23" s="276"/>
    </row>
    <row r="24" spans="1:11" s="45" customFormat="1" ht="12.75" customHeight="1" thickBot="1">
      <c r="A24" s="312" t="s">
        <v>18</v>
      </c>
      <c r="B24" s="309"/>
      <c r="C24" s="310"/>
      <c r="D24" s="309" t="s">
        <v>436</v>
      </c>
      <c r="E24" s="310"/>
      <c r="F24" s="309" t="s">
        <v>9</v>
      </c>
      <c r="G24" s="310"/>
      <c r="H24" s="312" t="s">
        <v>10</v>
      </c>
      <c r="I24" s="310"/>
      <c r="J24" s="309" t="s">
        <v>11</v>
      </c>
      <c r="K24" s="310"/>
    </row>
    <row r="25" spans="1:11" ht="12.75" customHeight="1">
      <c r="A25" s="308" t="s">
        <v>70</v>
      </c>
      <c r="B25" s="229"/>
      <c r="C25" s="229"/>
      <c r="D25" s="2"/>
      <c r="E25" s="2"/>
      <c r="F25" s="2"/>
      <c r="J25" s="9"/>
      <c r="K25" s="5"/>
    </row>
    <row r="26" spans="1:11" ht="14.1" customHeight="1">
      <c r="A26" s="38"/>
      <c r="B26" s="155" t="s">
        <v>73</v>
      </c>
      <c r="D26" s="21"/>
      <c r="F26" s="292" t="s">
        <v>89</v>
      </c>
      <c r="G26" s="292"/>
      <c r="H26" s="290" t="s">
        <v>95</v>
      </c>
      <c r="I26" s="290"/>
      <c r="J26" s="290" t="s">
        <v>95</v>
      </c>
      <c r="K26" s="295"/>
    </row>
    <row r="27" spans="1:11" ht="14.1" customHeight="1">
      <c r="A27" s="38"/>
      <c r="B27" s="155" t="s">
        <v>387</v>
      </c>
      <c r="D27" s="21"/>
      <c r="F27" s="292" t="s">
        <v>90</v>
      </c>
      <c r="G27" s="292"/>
      <c r="H27" s="290" t="s">
        <v>95</v>
      </c>
      <c r="I27" s="290"/>
      <c r="J27" s="290" t="s">
        <v>95</v>
      </c>
      <c r="K27" s="295"/>
    </row>
    <row r="28" spans="1:11" ht="12.75" customHeight="1">
      <c r="A28" s="299" t="s">
        <v>71</v>
      </c>
      <c r="B28" s="300"/>
      <c r="C28" s="300"/>
      <c r="D28" s="21"/>
      <c r="E28" s="296"/>
      <c r="F28" s="296"/>
      <c r="G28" s="293"/>
      <c r="H28" s="293"/>
      <c r="I28" s="293"/>
      <c r="J28" s="293"/>
      <c r="K28" s="294"/>
    </row>
    <row r="29" spans="1:11" ht="14.1" customHeight="1">
      <c r="A29" s="38"/>
      <c r="B29" s="155" t="s">
        <v>75</v>
      </c>
      <c r="D29" s="21"/>
      <c r="F29" s="292" t="s">
        <v>91</v>
      </c>
      <c r="G29" s="292"/>
      <c r="H29" s="290" t="s">
        <v>435</v>
      </c>
      <c r="I29" s="290"/>
      <c r="J29" s="290" t="s">
        <v>91</v>
      </c>
      <c r="K29" s="295"/>
    </row>
    <row r="30" spans="1:11" ht="14.1" customHeight="1">
      <c r="A30" s="38"/>
      <c r="B30" s="155" t="s">
        <v>76</v>
      </c>
      <c r="D30" s="21"/>
      <c r="F30" s="292" t="s">
        <v>91</v>
      </c>
      <c r="G30" s="292"/>
      <c r="H30" s="290" t="s">
        <v>98</v>
      </c>
      <c r="I30" s="290"/>
      <c r="J30" s="290" t="s">
        <v>91</v>
      </c>
      <c r="K30" s="295"/>
    </row>
    <row r="31" spans="1:11" ht="14.1" customHeight="1">
      <c r="A31" s="39"/>
      <c r="B31" s="155" t="s">
        <v>78</v>
      </c>
      <c r="D31" s="21"/>
      <c r="F31" s="292" t="s">
        <v>401</v>
      </c>
      <c r="G31" s="292"/>
      <c r="H31" s="290" t="s">
        <v>98</v>
      </c>
      <c r="I31" s="290"/>
      <c r="J31" s="290" t="s">
        <v>96</v>
      </c>
      <c r="K31" s="295"/>
    </row>
    <row r="32" spans="1:11" ht="14.1" customHeight="1">
      <c r="A32" s="38"/>
      <c r="B32" s="155" t="s">
        <v>77</v>
      </c>
      <c r="D32" s="21"/>
      <c r="F32" s="292" t="s">
        <v>91</v>
      </c>
      <c r="G32" s="292"/>
      <c r="H32" s="290" t="s">
        <v>98</v>
      </c>
      <c r="I32" s="290"/>
      <c r="J32" s="290" t="s">
        <v>91</v>
      </c>
      <c r="K32" s="295"/>
    </row>
    <row r="33" spans="1:11" ht="14.1" customHeight="1">
      <c r="A33" s="38"/>
      <c r="B33" s="155" t="s">
        <v>72</v>
      </c>
      <c r="D33" s="21"/>
      <c r="F33" s="311" t="s">
        <v>155</v>
      </c>
      <c r="G33" s="311"/>
      <c r="H33" s="290" t="s">
        <v>95</v>
      </c>
      <c r="I33" s="290"/>
      <c r="J33" s="290" t="s">
        <v>158</v>
      </c>
      <c r="K33" s="295"/>
    </row>
    <row r="34" spans="1:11" ht="14.1" customHeight="1">
      <c r="A34" s="38"/>
      <c r="B34" s="155" t="s">
        <v>79</v>
      </c>
      <c r="D34" s="313"/>
      <c r="E34" s="313"/>
      <c r="F34" s="292" t="s">
        <v>91</v>
      </c>
      <c r="G34" s="292"/>
      <c r="H34" s="290" t="s">
        <v>97</v>
      </c>
      <c r="I34" s="290"/>
      <c r="J34" s="290" t="s">
        <v>91</v>
      </c>
      <c r="K34" s="295"/>
    </row>
    <row r="35" spans="1:11" ht="14.1" customHeight="1">
      <c r="A35" s="38"/>
      <c r="B35" s="155" t="s">
        <v>74</v>
      </c>
      <c r="D35" s="21"/>
      <c r="F35" s="291" t="s">
        <v>92</v>
      </c>
      <c r="G35" s="291"/>
      <c r="H35" s="290" t="s">
        <v>95</v>
      </c>
      <c r="I35" s="290"/>
      <c r="J35" s="290" t="s">
        <v>159</v>
      </c>
      <c r="K35" s="295"/>
    </row>
    <row r="36" spans="1:11" ht="14.1" customHeight="1">
      <c r="A36" s="40"/>
      <c r="B36" s="155" t="s">
        <v>80</v>
      </c>
      <c r="D36" s="21"/>
      <c r="F36" s="292" t="s">
        <v>91</v>
      </c>
      <c r="G36" s="292"/>
      <c r="H36" s="290" t="s">
        <v>98</v>
      </c>
      <c r="I36" s="290"/>
      <c r="J36" s="290" t="s">
        <v>91</v>
      </c>
      <c r="K36" s="295"/>
    </row>
    <row r="37" spans="1:11" ht="14.1" customHeight="1">
      <c r="A37" s="40"/>
      <c r="B37" s="155" t="s">
        <v>81</v>
      </c>
      <c r="D37" s="21"/>
      <c r="F37" s="292" t="s">
        <v>91</v>
      </c>
      <c r="G37" s="292"/>
      <c r="H37" s="290" t="s">
        <v>98</v>
      </c>
      <c r="I37" s="290"/>
      <c r="J37" s="290" t="s">
        <v>91</v>
      </c>
      <c r="K37" s="295"/>
    </row>
    <row r="38" spans="1:11" ht="14.1" customHeight="1">
      <c r="A38" s="40"/>
      <c r="B38" s="155" t="s">
        <v>82</v>
      </c>
      <c r="F38" s="292" t="s">
        <v>91</v>
      </c>
      <c r="G38" s="292"/>
      <c r="H38" s="290" t="s">
        <v>98</v>
      </c>
      <c r="I38" s="290"/>
      <c r="J38" s="290" t="s">
        <v>91</v>
      </c>
      <c r="K38" s="295"/>
    </row>
    <row r="39" spans="1:11" ht="12.75" customHeight="1">
      <c r="A39" s="299" t="s">
        <v>83</v>
      </c>
      <c r="B39" s="300"/>
      <c r="C39" s="300"/>
      <c r="D39" s="21"/>
      <c r="E39" s="296"/>
      <c r="F39" s="296"/>
      <c r="G39" s="293"/>
      <c r="H39" s="293"/>
      <c r="I39" s="293"/>
      <c r="J39" s="293"/>
      <c r="K39" s="294"/>
    </row>
    <row r="40" spans="1:11" ht="14.1" customHeight="1">
      <c r="A40" s="38"/>
      <c r="B40" s="155" t="s">
        <v>84</v>
      </c>
      <c r="F40" s="292" t="s">
        <v>156</v>
      </c>
      <c r="G40" s="292"/>
      <c r="H40" s="290" t="s">
        <v>104</v>
      </c>
      <c r="I40" s="290"/>
      <c r="J40" s="290" t="s">
        <v>156</v>
      </c>
      <c r="K40" s="295"/>
    </row>
    <row r="41" spans="1:11" ht="14.1" customHeight="1">
      <c r="A41" s="38"/>
      <c r="B41" s="155" t="s">
        <v>85</v>
      </c>
      <c r="D41" s="313"/>
      <c r="E41" s="313"/>
      <c r="F41" s="292" t="s">
        <v>156</v>
      </c>
      <c r="G41" s="292"/>
      <c r="H41" s="290" t="s">
        <v>104</v>
      </c>
      <c r="I41" s="290"/>
      <c r="J41" s="290" t="s">
        <v>156</v>
      </c>
      <c r="K41" s="295"/>
    </row>
    <row r="42" spans="1:11" ht="14.1" customHeight="1">
      <c r="A42" s="38"/>
      <c r="B42" s="155" t="s">
        <v>86</v>
      </c>
      <c r="D42" s="313"/>
      <c r="E42" s="313"/>
      <c r="F42" s="292" t="s">
        <v>93</v>
      </c>
      <c r="G42" s="292"/>
      <c r="H42" s="290" t="s">
        <v>105</v>
      </c>
      <c r="I42" s="290"/>
      <c r="J42" s="290" t="s">
        <v>157</v>
      </c>
      <c r="K42" s="295"/>
    </row>
    <row r="43" spans="1:11" ht="14.1" customHeight="1">
      <c r="A43" s="38"/>
      <c r="B43" s="155" t="s">
        <v>87</v>
      </c>
      <c r="F43" s="292" t="s">
        <v>94</v>
      </c>
      <c r="G43" s="292"/>
      <c r="H43" s="290" t="s">
        <v>105</v>
      </c>
      <c r="I43" s="290"/>
      <c r="J43" s="290" t="s">
        <v>157</v>
      </c>
      <c r="K43" s="295"/>
    </row>
    <row r="44" spans="1:11" ht="14.1" customHeight="1">
      <c r="A44" s="38"/>
      <c r="B44" s="155" t="s">
        <v>434</v>
      </c>
      <c r="C44" s="154"/>
      <c r="D44" s="313"/>
      <c r="E44" s="313"/>
      <c r="F44" s="292" t="s">
        <v>156</v>
      </c>
      <c r="G44" s="292"/>
      <c r="H44" s="290" t="s">
        <v>105</v>
      </c>
      <c r="I44" s="290"/>
      <c r="J44" s="290" t="s">
        <v>340</v>
      </c>
      <c r="K44" s="295"/>
    </row>
    <row r="45" spans="1:11" ht="14.1" customHeight="1">
      <c r="A45" s="38"/>
      <c r="B45" s="155" t="s">
        <v>88</v>
      </c>
      <c r="F45" s="292" t="s">
        <v>94</v>
      </c>
      <c r="G45" s="292"/>
      <c r="H45" s="290" t="s">
        <v>104</v>
      </c>
      <c r="I45" s="290"/>
      <c r="J45" s="290" t="s">
        <v>157</v>
      </c>
      <c r="K45" s="295"/>
    </row>
    <row r="46" spans="1:11" ht="14.1" customHeight="1">
      <c r="A46" s="38"/>
      <c r="B46" s="155" t="s">
        <v>339</v>
      </c>
      <c r="C46" s="154"/>
      <c r="D46" s="314"/>
      <c r="E46" s="314"/>
      <c r="F46" s="292" t="s">
        <v>94</v>
      </c>
      <c r="G46" s="292"/>
      <c r="H46" s="290" t="s">
        <v>104</v>
      </c>
      <c r="I46" s="290"/>
      <c r="J46" s="290" t="s">
        <v>340</v>
      </c>
      <c r="K46" s="295"/>
    </row>
    <row r="47" spans="1:11" ht="14.1" customHeight="1">
      <c r="A47" s="38"/>
      <c r="B47" s="155" t="s">
        <v>432</v>
      </c>
      <c r="D47" s="315"/>
      <c r="E47" s="315"/>
      <c r="F47" s="292" t="s">
        <v>340</v>
      </c>
      <c r="G47" s="292"/>
      <c r="H47" s="290" t="s">
        <v>104</v>
      </c>
      <c r="I47" s="290"/>
      <c r="J47" s="290" t="s">
        <v>340</v>
      </c>
      <c r="K47" s="295"/>
    </row>
    <row r="48" spans="1:11" ht="14.1" customHeight="1">
      <c r="A48" s="38"/>
      <c r="B48" s="317" t="s">
        <v>433</v>
      </c>
      <c r="C48" s="316"/>
      <c r="D48" s="316"/>
      <c r="E48" s="316"/>
      <c r="F48" s="292" t="s">
        <v>340</v>
      </c>
      <c r="G48" s="292"/>
      <c r="H48" s="290" t="s">
        <v>104</v>
      </c>
      <c r="I48" s="290"/>
      <c r="J48" s="290" t="s">
        <v>340</v>
      </c>
      <c r="K48" s="295"/>
    </row>
    <row r="49" spans="1:11" ht="14.1" customHeight="1">
      <c r="A49" s="38"/>
      <c r="B49" s="317"/>
      <c r="C49" s="316"/>
      <c r="D49" s="316"/>
      <c r="E49" s="316"/>
      <c r="F49" s="292" t="s">
        <v>156</v>
      </c>
      <c r="G49" s="292"/>
      <c r="H49" s="290" t="s">
        <v>105</v>
      </c>
      <c r="I49" s="290"/>
      <c r="J49" s="290" t="s">
        <v>340</v>
      </c>
      <c r="K49" s="295"/>
    </row>
    <row r="50" spans="1:11" ht="14.1" customHeight="1">
      <c r="A50" s="38"/>
      <c r="B50" s="155" t="s">
        <v>100</v>
      </c>
      <c r="C50" s="154"/>
      <c r="D50" s="314"/>
      <c r="E50" s="314"/>
      <c r="F50" s="292" t="s">
        <v>340</v>
      </c>
      <c r="G50" s="292"/>
      <c r="H50" s="290" t="s">
        <v>104</v>
      </c>
      <c r="I50" s="290"/>
      <c r="J50" s="290" t="s">
        <v>340</v>
      </c>
      <c r="K50" s="295"/>
    </row>
    <row r="51" spans="1:11" ht="15" thickBot="1">
      <c r="A51" s="232" t="s">
        <v>12</v>
      </c>
      <c r="B51" s="233"/>
      <c r="C51" s="233"/>
      <c r="D51" s="233"/>
      <c r="E51" s="233"/>
      <c r="F51" s="233"/>
      <c r="G51" s="233"/>
      <c r="H51" s="233"/>
      <c r="I51" s="233"/>
      <c r="J51" s="233"/>
      <c r="K51" s="234"/>
    </row>
    <row r="52" spans="1:11" ht="14.1" customHeight="1">
      <c r="A52" s="297" t="s">
        <v>13</v>
      </c>
      <c r="B52" s="297"/>
      <c r="C52" s="298"/>
      <c r="D52" s="298"/>
      <c r="E52" s="298"/>
      <c r="F52" s="298"/>
      <c r="G52" s="298"/>
      <c r="H52" s="298"/>
      <c r="I52" s="298"/>
      <c r="J52" s="298"/>
      <c r="K52" s="298"/>
    </row>
    <row r="53" spans="1:11" ht="5.55" customHeight="1">
      <c r="A53" s="162"/>
      <c r="B53" s="162"/>
      <c r="C53" s="163"/>
      <c r="D53" s="163"/>
      <c r="E53" s="163"/>
      <c r="F53" s="163"/>
      <c r="G53" s="163"/>
      <c r="H53" s="163"/>
      <c r="I53" s="163"/>
      <c r="J53" s="163"/>
      <c r="K53" s="163"/>
    </row>
    <row r="54" spans="1:11" s="31" customFormat="1" ht="12.75" customHeight="1">
      <c r="A54" s="157" t="s">
        <v>14</v>
      </c>
      <c r="E54" s="158" t="s">
        <v>16</v>
      </c>
      <c r="I54" s="158" t="s">
        <v>17</v>
      </c>
    </row>
    <row r="55" spans="1:11" ht="14.1" customHeight="1">
      <c r="I55" s="31"/>
    </row>
    <row r="56" spans="1:11">
      <c r="A56" s="218" t="s">
        <v>25</v>
      </c>
      <c r="B56" s="218"/>
      <c r="C56" s="218"/>
      <c r="D56" s="218"/>
      <c r="E56" s="218" t="s">
        <v>171</v>
      </c>
      <c r="F56" s="218"/>
      <c r="G56" s="218"/>
      <c r="H56" s="218"/>
      <c r="I56" s="219" t="s">
        <v>120</v>
      </c>
      <c r="J56" s="219"/>
      <c r="K56" s="219"/>
    </row>
    <row r="57" spans="1:11" ht="12.75" customHeight="1">
      <c r="A57" s="230" t="s">
        <v>15</v>
      </c>
      <c r="B57" s="230"/>
      <c r="C57" s="230"/>
      <c r="D57" s="230"/>
      <c r="E57" s="231" t="s">
        <v>172</v>
      </c>
      <c r="F57" s="231"/>
      <c r="G57" s="231"/>
      <c r="H57" s="231"/>
      <c r="I57" s="231" t="s">
        <v>113</v>
      </c>
      <c r="J57" s="231"/>
      <c r="K57" s="231"/>
    </row>
    <row r="58" spans="1:11" ht="12.75" customHeight="1">
      <c r="A58" s="231" t="str">
        <f>IF(A56=A65,"Lic. No. 0091946",IF(A56=A66,"Lic. No. 0068902",IF(A56=A67,"Lic. No. 0081395",IF(A56=A68,"Lic. No. 0054465",IF(A56=A69,"Lic. No. 0060939")))))</f>
        <v>Lic. No. 0068902</v>
      </c>
      <c r="B58" s="231"/>
      <c r="C58" s="231"/>
      <c r="D58" s="231"/>
      <c r="E58" s="231" t="s">
        <v>173</v>
      </c>
      <c r="F58" s="231"/>
      <c r="G58" s="231"/>
      <c r="H58" s="231"/>
      <c r="I58" s="231" t="s">
        <v>121</v>
      </c>
      <c r="J58" s="231"/>
      <c r="K58" s="231"/>
    </row>
    <row r="59" spans="1:11">
      <c r="A59" s="231"/>
      <c r="B59" s="231"/>
      <c r="C59" s="231"/>
      <c r="D59" s="231"/>
      <c r="E59" s="231"/>
      <c r="F59" s="231"/>
      <c r="G59" s="231"/>
      <c r="H59" s="231"/>
      <c r="I59" s="231"/>
      <c r="J59" s="231"/>
      <c r="K59" s="231"/>
    </row>
    <row r="61" spans="1:11">
      <c r="A61" s="32"/>
      <c r="B61" s="32"/>
      <c r="C61" s="32"/>
      <c r="D61" s="32"/>
    </row>
    <row r="62" spans="1:11">
      <c r="C62" s="32"/>
      <c r="D62" s="32"/>
    </row>
    <row r="63" spans="1:11" ht="14.4" customHeight="1">
      <c r="C63" s="32"/>
      <c r="D63" s="32"/>
    </row>
    <row r="65" spans="1:11">
      <c r="A65" s="33" t="s">
        <v>616</v>
      </c>
      <c r="B65" s="33" t="s">
        <v>617</v>
      </c>
    </row>
    <row r="66" spans="1:11">
      <c r="A66" s="34" t="s">
        <v>25</v>
      </c>
      <c r="B66" s="35" t="s">
        <v>26</v>
      </c>
    </row>
    <row r="67" spans="1:11">
      <c r="A67" s="34" t="s">
        <v>22</v>
      </c>
      <c r="B67" s="35" t="s">
        <v>23</v>
      </c>
    </row>
    <row r="68" spans="1:11">
      <c r="A68" t="s">
        <v>614</v>
      </c>
      <c r="B68" t="s">
        <v>615</v>
      </c>
    </row>
    <row r="69" spans="1:11">
      <c r="A69" t="s">
        <v>160</v>
      </c>
      <c r="B69" t="s">
        <v>161</v>
      </c>
    </row>
    <row r="72" spans="1:11" s="21" customFormat="1">
      <c r="A72" s="21" t="s">
        <v>371</v>
      </c>
      <c r="B72" s="21" t="s">
        <v>388</v>
      </c>
      <c r="C72" s="21" t="s">
        <v>393</v>
      </c>
      <c r="D72" s="21" t="s">
        <v>397</v>
      </c>
      <c r="E72" s="21" t="s">
        <v>400</v>
      </c>
      <c r="F72" s="21" t="s">
        <v>406</v>
      </c>
      <c r="G72" s="21" t="s">
        <v>72</v>
      </c>
      <c r="H72" s="21" t="s">
        <v>413</v>
      </c>
      <c r="I72" s="21" t="s">
        <v>418</v>
      </c>
      <c r="J72" s="21" t="s">
        <v>419</v>
      </c>
      <c r="K72" s="21" t="s">
        <v>422</v>
      </c>
    </row>
    <row r="73" spans="1:11">
      <c r="A73" t="s">
        <v>372</v>
      </c>
      <c r="B73" t="s">
        <v>90</v>
      </c>
      <c r="C73" t="s">
        <v>91</v>
      </c>
      <c r="D73" t="s">
        <v>91</v>
      </c>
      <c r="E73" t="s">
        <v>401</v>
      </c>
      <c r="F73" t="s">
        <v>91</v>
      </c>
      <c r="G73" s="152">
        <v>5</v>
      </c>
      <c r="H73" t="s">
        <v>91</v>
      </c>
      <c r="I73" s="153">
        <v>1</v>
      </c>
      <c r="J73" t="s">
        <v>91</v>
      </c>
      <c r="K73" t="s">
        <v>91</v>
      </c>
    </row>
    <row r="74" spans="1:11">
      <c r="A74" t="s">
        <v>373</v>
      </c>
      <c r="B74" t="s">
        <v>389</v>
      </c>
      <c r="C74" t="s">
        <v>394</v>
      </c>
      <c r="D74" t="s">
        <v>398</v>
      </c>
      <c r="E74" t="s">
        <v>402</v>
      </c>
      <c r="F74" t="s">
        <v>408</v>
      </c>
      <c r="G74" s="152">
        <v>6</v>
      </c>
      <c r="H74" t="s">
        <v>407</v>
      </c>
      <c r="I74" s="153">
        <v>1.0049999999999999</v>
      </c>
      <c r="J74" t="s">
        <v>420</v>
      </c>
      <c r="K74" t="s">
        <v>423</v>
      </c>
    </row>
    <row r="75" spans="1:11">
      <c r="A75" t="s">
        <v>89</v>
      </c>
      <c r="B75" t="s">
        <v>390</v>
      </c>
      <c r="C75" t="s">
        <v>395</v>
      </c>
      <c r="D75" t="s">
        <v>399</v>
      </c>
      <c r="E75" t="s">
        <v>403</v>
      </c>
      <c r="F75" t="s">
        <v>409</v>
      </c>
      <c r="G75" s="152">
        <v>6.5</v>
      </c>
      <c r="H75" t="s">
        <v>414</v>
      </c>
      <c r="I75" s="153">
        <v>1.01</v>
      </c>
      <c r="J75" t="s">
        <v>407</v>
      </c>
      <c r="K75" t="s">
        <v>424</v>
      </c>
    </row>
    <row r="76" spans="1:11">
      <c r="A76" t="s">
        <v>374</v>
      </c>
      <c r="B76" t="s">
        <v>391</v>
      </c>
      <c r="C76" t="s">
        <v>396</v>
      </c>
      <c r="E76" t="s">
        <v>404</v>
      </c>
      <c r="F76" t="s">
        <v>410</v>
      </c>
      <c r="G76" s="152">
        <v>7</v>
      </c>
      <c r="H76" t="s">
        <v>415</v>
      </c>
      <c r="I76" s="153">
        <v>1.0149999999999999</v>
      </c>
      <c r="J76" t="s">
        <v>414</v>
      </c>
      <c r="K76" t="s">
        <v>425</v>
      </c>
    </row>
    <row r="77" spans="1:11">
      <c r="A77" t="s">
        <v>375</v>
      </c>
      <c r="B77" t="s">
        <v>392</v>
      </c>
      <c r="E77" t="s">
        <v>405</v>
      </c>
      <c r="F77" t="s">
        <v>411</v>
      </c>
      <c r="G77" s="152">
        <v>7.5</v>
      </c>
      <c r="I77" s="153">
        <v>1.02</v>
      </c>
      <c r="J77" t="s">
        <v>421</v>
      </c>
    </row>
    <row r="78" spans="1:11">
      <c r="A78" t="s">
        <v>376</v>
      </c>
      <c r="F78" t="s">
        <v>412</v>
      </c>
      <c r="G78" s="152">
        <v>8</v>
      </c>
      <c r="H78" t="s">
        <v>416</v>
      </c>
      <c r="I78" s="153">
        <v>1.0249999999999999</v>
      </c>
    </row>
    <row r="79" spans="1:11">
      <c r="A79" t="s">
        <v>377</v>
      </c>
      <c r="G79" s="152">
        <v>9</v>
      </c>
      <c r="H79" t="s">
        <v>417</v>
      </c>
      <c r="I79" s="153">
        <v>1.03</v>
      </c>
    </row>
    <row r="80" spans="1:11">
      <c r="A80" t="s">
        <v>383</v>
      </c>
      <c r="G80" s="152"/>
    </row>
    <row r="81" spans="1:11">
      <c r="A81" t="s">
        <v>378</v>
      </c>
      <c r="G81" s="152"/>
    </row>
    <row r="82" spans="1:11">
      <c r="A82" t="s">
        <v>356</v>
      </c>
      <c r="G82" s="152"/>
    </row>
    <row r="83" spans="1:11">
      <c r="A83" t="s">
        <v>379</v>
      </c>
      <c r="C83" s="21" t="s">
        <v>426</v>
      </c>
      <c r="D83" s="21" t="s">
        <v>437</v>
      </c>
      <c r="E83" s="21" t="s">
        <v>440</v>
      </c>
      <c r="F83" s="21" t="s">
        <v>446</v>
      </c>
      <c r="G83" s="21" t="s">
        <v>450</v>
      </c>
      <c r="H83" s="21" t="s">
        <v>460</v>
      </c>
      <c r="I83" s="21" t="s">
        <v>463</v>
      </c>
      <c r="J83" s="21" t="s">
        <v>466</v>
      </c>
      <c r="K83" s="21" t="s">
        <v>481</v>
      </c>
    </row>
    <row r="84" spans="1:11">
      <c r="A84" t="s">
        <v>380</v>
      </c>
      <c r="C84" t="s">
        <v>91</v>
      </c>
      <c r="D84" t="s">
        <v>340</v>
      </c>
      <c r="E84" t="s">
        <v>445</v>
      </c>
    </row>
    <row r="85" spans="1:11">
      <c r="A85" t="s">
        <v>381</v>
      </c>
      <c r="C85" t="s">
        <v>427</v>
      </c>
      <c r="D85" t="s">
        <v>93</v>
      </c>
      <c r="E85" t="s">
        <v>441</v>
      </c>
      <c r="F85" t="s">
        <v>447</v>
      </c>
      <c r="G85" t="s">
        <v>451</v>
      </c>
      <c r="H85" t="s">
        <v>461</v>
      </c>
      <c r="I85" t="s">
        <v>464</v>
      </c>
      <c r="J85" t="s">
        <v>467</v>
      </c>
      <c r="K85" t="s">
        <v>482</v>
      </c>
    </row>
    <row r="86" spans="1:11">
      <c r="A86" t="s">
        <v>382</v>
      </c>
      <c r="C86" t="s">
        <v>428</v>
      </c>
      <c r="D86" t="s">
        <v>94</v>
      </c>
      <c r="E86" t="s">
        <v>442</v>
      </c>
      <c r="F86" t="s">
        <v>448</v>
      </c>
      <c r="G86" t="s">
        <v>440</v>
      </c>
      <c r="H86" t="s">
        <v>462</v>
      </c>
      <c r="I86" t="s">
        <v>465</v>
      </c>
      <c r="J86" t="s">
        <v>468</v>
      </c>
      <c r="K86" t="s">
        <v>485</v>
      </c>
    </row>
    <row r="87" spans="1:11">
      <c r="A87" t="s">
        <v>350</v>
      </c>
      <c r="C87" t="s">
        <v>429</v>
      </c>
      <c r="D87" t="s">
        <v>438</v>
      </c>
      <c r="E87" t="s">
        <v>443</v>
      </c>
      <c r="F87" t="s">
        <v>449</v>
      </c>
      <c r="G87" t="s">
        <v>452</v>
      </c>
      <c r="I87" t="s">
        <v>484</v>
      </c>
      <c r="J87" t="s">
        <v>469</v>
      </c>
      <c r="K87" t="s">
        <v>486</v>
      </c>
    </row>
    <row r="88" spans="1:11">
      <c r="A88" t="s">
        <v>384</v>
      </c>
      <c r="C88" t="s">
        <v>430</v>
      </c>
      <c r="D88" t="s">
        <v>338</v>
      </c>
      <c r="E88" t="s">
        <v>444</v>
      </c>
      <c r="F88" t="s">
        <v>483</v>
      </c>
      <c r="G88" t="s">
        <v>453</v>
      </c>
      <c r="J88" t="s">
        <v>470</v>
      </c>
      <c r="K88" t="s">
        <v>487</v>
      </c>
    </row>
    <row r="89" spans="1:11">
      <c r="A89" t="s">
        <v>362</v>
      </c>
      <c r="C89" t="s">
        <v>431</v>
      </c>
      <c r="D89" t="s">
        <v>439</v>
      </c>
      <c r="G89" t="s">
        <v>454</v>
      </c>
      <c r="J89" t="s">
        <v>471</v>
      </c>
    </row>
    <row r="90" spans="1:11">
      <c r="A90" t="s">
        <v>385</v>
      </c>
      <c r="G90" t="s">
        <v>455</v>
      </c>
      <c r="J90" t="s">
        <v>472</v>
      </c>
    </row>
    <row r="91" spans="1:11">
      <c r="A91" t="s">
        <v>386</v>
      </c>
      <c r="G91" t="s">
        <v>456</v>
      </c>
      <c r="J91" t="s">
        <v>473</v>
      </c>
    </row>
    <row r="92" spans="1:11">
      <c r="J92" t="s">
        <v>496</v>
      </c>
    </row>
    <row r="93" spans="1:11">
      <c r="G93" t="s">
        <v>457</v>
      </c>
      <c r="J93" t="s">
        <v>474</v>
      </c>
    </row>
    <row r="94" spans="1:11">
      <c r="G94" t="s">
        <v>458</v>
      </c>
      <c r="J94" t="s">
        <v>475</v>
      </c>
    </row>
    <row r="95" spans="1:11">
      <c r="G95" t="s">
        <v>459</v>
      </c>
      <c r="J95" t="s">
        <v>476</v>
      </c>
    </row>
    <row r="96" spans="1:11">
      <c r="J96" t="s">
        <v>477</v>
      </c>
    </row>
    <row r="97" spans="10:10">
      <c r="J97" t="s">
        <v>478</v>
      </c>
    </row>
    <row r="98" spans="10:10">
      <c r="J98" t="s">
        <v>422</v>
      </c>
    </row>
    <row r="99" spans="10:10">
      <c r="J99" t="s">
        <v>493</v>
      </c>
    </row>
    <row r="100" spans="10:10">
      <c r="J100" t="s">
        <v>494</v>
      </c>
    </row>
    <row r="101" spans="10:10">
      <c r="J101" t="s">
        <v>495</v>
      </c>
    </row>
    <row r="102" spans="10:10">
      <c r="J102" t="s">
        <v>479</v>
      </c>
    </row>
    <row r="103" spans="10:10">
      <c r="J103" t="s">
        <v>480</v>
      </c>
    </row>
    <row r="104" spans="10:10">
      <c r="J104" t="s">
        <v>488</v>
      </c>
    </row>
    <row r="105" spans="10:10">
      <c r="J105" t="s">
        <v>489</v>
      </c>
    </row>
    <row r="106" spans="10:10">
      <c r="J106" t="s">
        <v>490</v>
      </c>
    </row>
    <row r="107" spans="10:10">
      <c r="J107" t="s">
        <v>491</v>
      </c>
    </row>
    <row r="108" spans="10:10">
      <c r="J108" t="s">
        <v>492</v>
      </c>
    </row>
    <row r="109" spans="10:10">
      <c r="J109" t="s">
        <v>497</v>
      </c>
    </row>
    <row r="135" spans="3:9">
      <c r="C135" s="22"/>
      <c r="D135" s="29"/>
      <c r="E135" s="24"/>
      <c r="H135" s="30"/>
      <c r="I135" s="26"/>
    </row>
    <row r="136" spans="3:9">
      <c r="C136" s="22"/>
      <c r="D136" s="23"/>
      <c r="E136" s="24"/>
      <c r="H136" s="25"/>
      <c r="I136" s="26"/>
    </row>
    <row r="137" spans="3:9">
      <c r="C137" s="22"/>
      <c r="D137" s="23"/>
      <c r="E137" s="24"/>
      <c r="H137" s="25"/>
      <c r="I137" s="26"/>
    </row>
    <row r="138" spans="3:9">
      <c r="C138" s="22"/>
      <c r="D138" s="23"/>
      <c r="E138" s="24"/>
      <c r="H138" s="25"/>
      <c r="I138" s="26"/>
    </row>
    <row r="139" spans="3:9">
      <c r="C139" s="22"/>
      <c r="D139" s="23"/>
      <c r="E139" s="24"/>
      <c r="H139" s="25"/>
      <c r="I139" s="26"/>
    </row>
    <row r="140" spans="3:9">
      <c r="C140" s="22"/>
      <c r="D140" s="23"/>
      <c r="E140" s="24"/>
      <c r="H140" s="25"/>
      <c r="I140" s="26"/>
    </row>
  </sheetData>
  <mergeCells count="137">
    <mergeCell ref="F44:G44"/>
    <mergeCell ref="F45:G45"/>
    <mergeCell ref="F46:G46"/>
    <mergeCell ref="F47:G47"/>
    <mergeCell ref="F48:G48"/>
    <mergeCell ref="F50:G50"/>
    <mergeCell ref="D24:E24"/>
    <mergeCell ref="A24:C24"/>
    <mergeCell ref="D34:E34"/>
    <mergeCell ref="D41:E41"/>
    <mergeCell ref="D42:E42"/>
    <mergeCell ref="D44:E44"/>
    <mergeCell ref="D46:E46"/>
    <mergeCell ref="D47:E47"/>
    <mergeCell ref="D50:E50"/>
    <mergeCell ref="F49:G49"/>
    <mergeCell ref="C48:E48"/>
    <mergeCell ref="C49:E49"/>
    <mergeCell ref="B48:B49"/>
    <mergeCell ref="F24:G24"/>
    <mergeCell ref="F26:G26"/>
    <mergeCell ref="F27:G27"/>
    <mergeCell ref="F29:G29"/>
    <mergeCell ref="F30:G30"/>
    <mergeCell ref="F31:G31"/>
    <mergeCell ref="F32:G32"/>
    <mergeCell ref="F33:G33"/>
    <mergeCell ref="F34:G34"/>
    <mergeCell ref="H24:I24"/>
    <mergeCell ref="H26:I26"/>
    <mergeCell ref="H27:I27"/>
    <mergeCell ref="H29:I29"/>
    <mergeCell ref="H30:I30"/>
    <mergeCell ref="H31:I31"/>
    <mergeCell ref="H32:I32"/>
    <mergeCell ref="H33:I33"/>
    <mergeCell ref="H34:I34"/>
    <mergeCell ref="G28:H28"/>
    <mergeCell ref="J44:K44"/>
    <mergeCell ref="J45:K45"/>
    <mergeCell ref="J46:K46"/>
    <mergeCell ref="J47:K47"/>
    <mergeCell ref="J48:K48"/>
    <mergeCell ref="J50:K50"/>
    <mergeCell ref="J24:K24"/>
    <mergeCell ref="J49:K49"/>
    <mergeCell ref="J31:K31"/>
    <mergeCell ref="J32:K32"/>
    <mergeCell ref="J33:K33"/>
    <mergeCell ref="J34:K34"/>
    <mergeCell ref="J35:K35"/>
    <mergeCell ref="J36:K36"/>
    <mergeCell ref="J37:K37"/>
    <mergeCell ref="J38:K38"/>
    <mergeCell ref="I28:K28"/>
    <mergeCell ref="H44:I44"/>
    <mergeCell ref="H45:I45"/>
    <mergeCell ref="H46:I46"/>
    <mergeCell ref="H47:I47"/>
    <mergeCell ref="H48:I48"/>
    <mergeCell ref="H50:I50"/>
    <mergeCell ref="H49:I49"/>
    <mergeCell ref="E14:G14"/>
    <mergeCell ref="I14:K14"/>
    <mergeCell ref="A15:C15"/>
    <mergeCell ref="E15:G15"/>
    <mergeCell ref="I15:K15"/>
    <mergeCell ref="A21:K22"/>
    <mergeCell ref="A23:K23"/>
    <mergeCell ref="A25:C25"/>
    <mergeCell ref="H17:K17"/>
    <mergeCell ref="A18:C18"/>
    <mergeCell ref="D18:E18"/>
    <mergeCell ref="F18:G18"/>
    <mergeCell ref="H18:K18"/>
    <mergeCell ref="A28:C28"/>
    <mergeCell ref="A39:C39"/>
    <mergeCell ref="E28:F28"/>
    <mergeCell ref="J26:K26"/>
    <mergeCell ref="J27:K27"/>
    <mergeCell ref="J29:K29"/>
    <mergeCell ref="J30:K30"/>
    <mergeCell ref="A9:K9"/>
    <mergeCell ref="A11:C11"/>
    <mergeCell ref="D11:F11"/>
    <mergeCell ref="G11:K11"/>
    <mergeCell ref="A12:C12"/>
    <mergeCell ref="D12:F12"/>
    <mergeCell ref="G12:I12"/>
    <mergeCell ref="J12:K12"/>
    <mergeCell ref="A20:C20"/>
    <mergeCell ref="D20:E20"/>
    <mergeCell ref="F20:G20"/>
    <mergeCell ref="H20:I20"/>
    <mergeCell ref="J20:K20"/>
    <mergeCell ref="A17:C17"/>
    <mergeCell ref="D17:E17"/>
    <mergeCell ref="F17:G17"/>
    <mergeCell ref="A14:C14"/>
    <mergeCell ref="E59:G59"/>
    <mergeCell ref="A51:K51"/>
    <mergeCell ref="A57:D57"/>
    <mergeCell ref="A58:D58"/>
    <mergeCell ref="A59:D59"/>
    <mergeCell ref="H59:K59"/>
    <mergeCell ref="A56:D56"/>
    <mergeCell ref="E56:H56"/>
    <mergeCell ref="I56:K56"/>
    <mergeCell ref="E57:H57"/>
    <mergeCell ref="I57:K57"/>
    <mergeCell ref="E58:H58"/>
    <mergeCell ref="I58:K58"/>
    <mergeCell ref="A52:B52"/>
    <mergeCell ref="C52:K52"/>
    <mergeCell ref="H35:I35"/>
    <mergeCell ref="H36:I36"/>
    <mergeCell ref="H37:I37"/>
    <mergeCell ref="H38:I38"/>
    <mergeCell ref="H40:I40"/>
    <mergeCell ref="H41:I41"/>
    <mergeCell ref="H42:I42"/>
    <mergeCell ref="H43:I43"/>
    <mergeCell ref="F35:G35"/>
    <mergeCell ref="F36:G36"/>
    <mergeCell ref="F37:G37"/>
    <mergeCell ref="F38:G38"/>
    <mergeCell ref="F40:G40"/>
    <mergeCell ref="F41:G41"/>
    <mergeCell ref="F42:G42"/>
    <mergeCell ref="I39:K39"/>
    <mergeCell ref="G39:H39"/>
    <mergeCell ref="J40:K40"/>
    <mergeCell ref="J41:K41"/>
    <mergeCell ref="J42:K42"/>
    <mergeCell ref="J43:K43"/>
    <mergeCell ref="F43:G43"/>
    <mergeCell ref="E39:F39"/>
  </mergeCells>
  <dataValidations count="22">
    <dataValidation type="list" allowBlank="1" showInputMessage="1" showErrorMessage="1" sqref="A56:D56" xr:uid="{024CEA41-AAE8-4E71-9317-86376ED0424B}">
      <formula1>$A$65:$A$69</formula1>
    </dataValidation>
    <dataValidation type="list" allowBlank="1" showInputMessage="1" showErrorMessage="1" sqref="F26" xr:uid="{E4224BF7-340B-4736-AE4E-F3B4623293E2}">
      <formula1>$A$73:$A$91</formula1>
    </dataValidation>
    <dataValidation type="list" allowBlank="1" showInputMessage="1" showErrorMessage="1" sqref="F27" xr:uid="{79A6D8B7-8830-4DE5-B51C-76D4846551D9}">
      <formula1>$B$73:$B$77</formula1>
    </dataValidation>
    <dataValidation type="list" allowBlank="1" showInputMessage="1" showErrorMessage="1" sqref="F29" xr:uid="{912A2D29-35C2-4473-BCE1-1ADA1B333E32}">
      <formula1>$C$73:$C$76</formula1>
    </dataValidation>
    <dataValidation type="list" allowBlank="1" showInputMessage="1" showErrorMessage="1" sqref="F30" xr:uid="{556E705B-3037-4D5D-B95F-48C09F04787F}">
      <formula1>$D$73:$D$75</formula1>
    </dataValidation>
    <dataValidation type="list" allowBlank="1" showInputMessage="1" showErrorMessage="1" sqref="F31" xr:uid="{3C12C823-C18D-45A7-9220-6CE1C1A3A360}">
      <formula1>$E$73:$E$77</formula1>
    </dataValidation>
    <dataValidation type="list" allowBlank="1" showInputMessage="1" showErrorMessage="1" sqref="F32" xr:uid="{D8EB0B9E-E0B0-403F-8131-24E53A127E3C}">
      <formula1>$F$73:$F$78</formula1>
    </dataValidation>
    <dataValidation type="list" allowBlank="1" showInputMessage="1" showErrorMessage="1" sqref="F33" xr:uid="{83FF2823-DF46-4408-802B-5B294D75506D}">
      <formula1>$G$73:$G$79</formula1>
    </dataValidation>
    <dataValidation type="list" allowBlank="1" showInputMessage="1" showErrorMessage="1" sqref="F34" xr:uid="{F0469E85-FD84-4517-A837-9DF1A5C66CB8}">
      <formula1>$H$73:$H$76</formula1>
    </dataValidation>
    <dataValidation type="list" allowBlank="1" showInputMessage="1" showErrorMessage="1" sqref="F35" xr:uid="{B4799BEB-5F93-44E8-BF04-EEC33F0EB0D1}">
      <formula1>$I$73:$I$79</formula1>
    </dataValidation>
    <dataValidation type="list" allowBlank="1" showInputMessage="1" showErrorMessage="1" sqref="F36" xr:uid="{FACE50E7-AA26-41B6-9E4F-761B568F4FF4}">
      <formula1>$J$73:$J$77</formula1>
    </dataValidation>
    <dataValidation type="list" allowBlank="1" showInputMessage="1" showErrorMessage="1" sqref="F37" xr:uid="{F970CCF1-AF47-4C60-B41C-E90CC7984092}">
      <formula1>$K$73:$K$76</formula1>
    </dataValidation>
    <dataValidation type="list" allowBlank="1" showInputMessage="1" showErrorMessage="1" sqref="F38" xr:uid="{8F1E6065-CA29-4D51-9A93-53E9F9BE6F49}">
      <formula1>$C$84:$C$89</formula1>
    </dataValidation>
    <dataValidation type="list" allowBlank="1" showInputMessage="1" showErrorMessage="1" sqref="F45:G48 F50:G50 F42:G43" xr:uid="{1D505881-1164-4925-A64A-A33942BADF65}">
      <formula1>$D$84:$D$89</formula1>
    </dataValidation>
    <dataValidation type="list" allowBlank="1" showInputMessage="1" showErrorMessage="1" sqref="D41:E41" xr:uid="{E2208F71-3093-49F7-B950-DF4D6ECF350A}">
      <formula1>$E$84:$E$88</formula1>
    </dataValidation>
    <dataValidation type="list" allowBlank="1" showInputMessage="1" showErrorMessage="1" sqref="D44:E44" xr:uid="{56A09EE9-0736-4BE3-BF54-63DE2AA863E2}">
      <formula1>$G$84:$G$95</formula1>
    </dataValidation>
    <dataValidation type="list" allowBlank="1" showInputMessage="1" showErrorMessage="1" sqref="D42:E42" xr:uid="{679257B7-4B53-461C-A0BB-BE77CC0A36F6}">
      <formula1>$F$84:$F$88</formula1>
    </dataValidation>
    <dataValidation type="list" allowBlank="1" showInputMessage="1" showErrorMessage="1" sqref="D46:E46" xr:uid="{A842B006-3BF1-4DFE-AB61-BF5CB85CCC5F}">
      <formula1>$H$84:$H$86</formula1>
    </dataValidation>
    <dataValidation type="list" allowBlank="1" showInputMessage="1" showErrorMessage="1" sqref="D47" xr:uid="{92CA722A-DB31-4F7C-ADEA-85D35011E09D}">
      <formula1>$I$84:$I$87</formula1>
    </dataValidation>
    <dataValidation type="list" allowBlank="1" showInputMessage="1" showErrorMessage="1" sqref="D50:E50" xr:uid="{A78DF561-9CDE-43CC-9263-0714B4826534}">
      <formula1>$K$84:$K$88</formula1>
    </dataValidation>
    <dataValidation type="list" allowBlank="1" showInputMessage="1" showErrorMessage="1" sqref="C48:E49" xr:uid="{30729256-6E28-4364-8EEF-551ECFA351C0}">
      <formula1>$J$84:$J$109</formula1>
    </dataValidation>
    <dataValidation type="list" allowBlank="1" showInputMessage="1" showErrorMessage="1" sqref="D34:E34" xr:uid="{2DFEE666-9E24-40B5-925B-2B8DBEFF027A}">
      <formula1>$H$77:$H$79</formula1>
    </dataValidation>
  </dataValidations>
  <pageMargins left="0.19685039370078741" right="0.19685039370078741" top="0.27559055118110237" bottom="0.27559055118110237" header="0.31496062992125984" footer="0.19685039370078741"/>
  <pageSetup paperSize="9" orientation="portrait" horizontalDpi="360" verticalDpi="360" r:id="rId1"/>
  <headerFooter>
    <oddFooter>&amp;RDOH-CHD7-CL-Form-12 Rev. 0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D013-0F36-4EBC-B2E8-0959AD63E663}">
  <sheetPr codeName="Sheet7"/>
  <dimension ref="A1:K162"/>
  <sheetViews>
    <sheetView view="pageLayout" topLeftCell="A40" zoomScaleNormal="100" workbookViewId="0">
      <selection activeCell="A53" sqref="A53:D53"/>
    </sheetView>
  </sheetViews>
  <sheetFormatPr defaultColWidth="9.21875" defaultRowHeight="14.4"/>
  <cols>
    <col min="1" max="3" width="7.5546875" customWidth="1"/>
    <col min="4" max="5" width="12.77734375" customWidth="1"/>
    <col min="6" max="7" width="10.77734375" customWidth="1"/>
    <col min="8" max="9" width="5.109375" customWidth="1"/>
    <col min="10" max="11" width="10.21875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5.5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5.55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56" t="s">
        <v>499</v>
      </c>
      <c r="H11" s="164"/>
      <c r="I11" s="164"/>
      <c r="J11" s="164"/>
      <c r="K11" s="165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301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28</v>
      </c>
      <c r="G19" s="181"/>
      <c r="H19" s="179"/>
      <c r="I19" s="180"/>
      <c r="J19" s="180"/>
      <c r="K19" s="181"/>
    </row>
    <row r="20" spans="1:11" ht="14.4" customHeight="1">
      <c r="A20" s="156" t="s">
        <v>501</v>
      </c>
      <c r="B20" s="2"/>
      <c r="C20" s="2"/>
      <c r="D20" s="2"/>
      <c r="E20" s="3"/>
      <c r="F20" s="12" t="s">
        <v>502</v>
      </c>
      <c r="G20" s="34"/>
      <c r="J20" s="156" t="s">
        <v>21</v>
      </c>
      <c r="K20" s="3"/>
    </row>
    <row r="21" spans="1:11" ht="15" thickBot="1">
      <c r="A21" s="182">
        <f>G12</f>
        <v>0</v>
      </c>
      <c r="B21" s="183"/>
      <c r="C21" s="183"/>
      <c r="D21" s="184">
        <v>0.375</v>
      </c>
      <c r="E21" s="185"/>
      <c r="F21" s="182">
        <f>A21</f>
        <v>0</v>
      </c>
      <c r="G21" s="183"/>
      <c r="H21" s="184">
        <v>0.45833333333333331</v>
      </c>
      <c r="I21" s="185"/>
      <c r="J21" s="199"/>
      <c r="K21" s="200"/>
    </row>
    <row r="22" spans="1:11" ht="14.4" customHeight="1">
      <c r="A22" s="302" t="s">
        <v>68</v>
      </c>
      <c r="B22" s="303"/>
      <c r="C22" s="303"/>
      <c r="D22" s="303"/>
      <c r="E22" s="303"/>
      <c r="F22" s="303"/>
      <c r="G22" s="303"/>
      <c r="H22" s="303"/>
      <c r="I22" s="303"/>
      <c r="J22" s="303"/>
      <c r="K22" s="304"/>
    </row>
    <row r="23" spans="1:11" ht="15" customHeight="1" thickBot="1">
      <c r="A23" s="305"/>
      <c r="B23" s="306"/>
      <c r="C23" s="306"/>
      <c r="D23" s="306"/>
      <c r="E23" s="306"/>
      <c r="F23" s="306"/>
      <c r="G23" s="306"/>
      <c r="H23" s="306"/>
      <c r="I23" s="306"/>
      <c r="J23" s="306"/>
      <c r="K23" s="307"/>
    </row>
    <row r="24" spans="1:11" ht="18" thickBot="1">
      <c r="A24" s="201" t="s">
        <v>99</v>
      </c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s="45" customFormat="1" ht="12.75" customHeight="1" thickBot="1">
      <c r="A25" s="312" t="s">
        <v>18</v>
      </c>
      <c r="B25" s="309"/>
      <c r="C25" s="310"/>
      <c r="D25" s="309" t="s">
        <v>9</v>
      </c>
      <c r="E25" s="310"/>
      <c r="F25" s="312" t="s">
        <v>436</v>
      </c>
      <c r="G25" s="309"/>
      <c r="H25" s="310"/>
      <c r="I25" s="309" t="s">
        <v>525</v>
      </c>
      <c r="J25" s="309"/>
      <c r="K25" s="310"/>
    </row>
    <row r="26" spans="1:11">
      <c r="A26" s="39" t="s">
        <v>70</v>
      </c>
      <c r="B26" s="39"/>
      <c r="C26" s="39"/>
      <c r="D26" s="21"/>
      <c r="E26" s="50"/>
      <c r="F26" s="50"/>
      <c r="G26" s="49"/>
      <c r="H26" s="49"/>
      <c r="I26" s="49"/>
      <c r="J26" s="49"/>
      <c r="K26" s="44"/>
    </row>
    <row r="27" spans="1:11">
      <c r="A27" s="166" t="s">
        <v>504</v>
      </c>
      <c r="B27" s="12"/>
      <c r="D27" s="292" t="s">
        <v>89</v>
      </c>
      <c r="E27" s="292"/>
      <c r="F27" s="322"/>
      <c r="G27" s="322"/>
      <c r="H27" s="322"/>
      <c r="I27" s="322"/>
      <c r="J27" s="293"/>
      <c r="K27" s="294"/>
    </row>
    <row r="28" spans="1:11">
      <c r="A28" s="166" t="s">
        <v>505</v>
      </c>
      <c r="B28" s="12"/>
      <c r="D28" s="296" t="s">
        <v>367</v>
      </c>
      <c r="E28" s="296"/>
      <c r="F28" s="322"/>
      <c r="G28" s="322"/>
      <c r="H28" s="322"/>
      <c r="I28" s="322"/>
      <c r="J28" s="293"/>
      <c r="K28" s="294"/>
    </row>
    <row r="29" spans="1:11">
      <c r="A29" s="166" t="s">
        <v>506</v>
      </c>
      <c r="B29" s="12"/>
      <c r="D29" s="259"/>
      <c r="E29" s="259"/>
      <c r="F29" s="292" t="s">
        <v>553</v>
      </c>
      <c r="G29" s="292"/>
      <c r="H29" s="292"/>
      <c r="I29" s="292" t="s">
        <v>608</v>
      </c>
      <c r="J29" s="292"/>
      <c r="K29" s="319"/>
    </row>
    <row r="30" spans="1:11">
      <c r="A30" s="166"/>
      <c r="B30" s="12"/>
      <c r="D30" s="259"/>
      <c r="E30" s="259"/>
      <c r="F30" s="292"/>
      <c r="G30" s="292"/>
      <c r="H30" s="292"/>
      <c r="I30" s="292"/>
      <c r="J30" s="293"/>
      <c r="K30" s="294"/>
    </row>
    <row r="31" spans="1:11">
      <c r="A31" s="166"/>
      <c r="B31" s="12"/>
      <c r="D31" s="259"/>
      <c r="E31" s="259"/>
      <c r="F31" s="292"/>
      <c r="G31" s="292"/>
      <c r="H31" s="292"/>
      <c r="I31" s="292"/>
      <c r="J31" s="293"/>
      <c r="K31" s="294"/>
    </row>
    <row r="32" spans="1:11" ht="15" thickBot="1">
      <c r="A32" s="38"/>
      <c r="D32" s="21"/>
      <c r="E32" s="50"/>
      <c r="F32" s="50"/>
      <c r="G32" s="49"/>
      <c r="H32" s="49"/>
      <c r="I32" s="49"/>
      <c r="J32" s="49"/>
      <c r="K32" s="44"/>
    </row>
    <row r="33" spans="1:11" s="45" customFormat="1" ht="12.75" customHeight="1" thickBot="1">
      <c r="A33" s="312" t="s">
        <v>18</v>
      </c>
      <c r="B33" s="309"/>
      <c r="C33" s="310"/>
      <c r="D33" s="169" t="s">
        <v>9</v>
      </c>
      <c r="E33" s="159" t="s">
        <v>10</v>
      </c>
      <c r="F33" s="312" t="s">
        <v>436</v>
      </c>
      <c r="G33" s="309"/>
      <c r="H33" s="310"/>
      <c r="I33" s="312" t="s">
        <v>525</v>
      </c>
      <c r="J33" s="309"/>
      <c r="K33" s="310"/>
    </row>
    <row r="34" spans="1:11">
      <c r="A34" s="39" t="s">
        <v>83</v>
      </c>
      <c r="B34" s="39"/>
      <c r="C34" s="39"/>
      <c r="D34" s="21"/>
      <c r="E34" s="50"/>
      <c r="F34" s="50"/>
      <c r="G34" s="49"/>
      <c r="H34" s="49"/>
      <c r="I34" s="49"/>
      <c r="J34" s="49"/>
      <c r="K34" s="44"/>
    </row>
    <row r="35" spans="1:11" ht="13.35" customHeight="1">
      <c r="A35" s="166" t="s">
        <v>507</v>
      </c>
      <c r="B35" s="12"/>
      <c r="D35" s="160" t="s">
        <v>336</v>
      </c>
      <c r="E35" s="161" t="s">
        <v>337</v>
      </c>
      <c r="H35" s="293"/>
      <c r="I35" s="293"/>
      <c r="J35" s="293"/>
      <c r="K35" s="294"/>
    </row>
    <row r="36" spans="1:11">
      <c r="A36" s="166" t="s">
        <v>508</v>
      </c>
      <c r="B36" s="12"/>
      <c r="D36" s="160" t="s">
        <v>336</v>
      </c>
      <c r="E36" s="161" t="s">
        <v>337</v>
      </c>
      <c r="H36" s="293"/>
      <c r="I36" s="293"/>
      <c r="J36" s="293"/>
      <c r="K36" s="294"/>
    </row>
    <row r="37" spans="1:11">
      <c r="A37" s="166" t="s">
        <v>509</v>
      </c>
      <c r="B37" s="12"/>
      <c r="D37" s="160" t="s">
        <v>338</v>
      </c>
      <c r="E37" s="161" t="s">
        <v>337</v>
      </c>
      <c r="H37" s="293"/>
      <c r="I37" s="293"/>
      <c r="J37" s="293"/>
      <c r="K37" s="294"/>
    </row>
    <row r="38" spans="1:11">
      <c r="A38" s="166" t="s">
        <v>510</v>
      </c>
      <c r="B38" s="12"/>
      <c r="D38" s="160" t="s">
        <v>93</v>
      </c>
      <c r="E38" s="161" t="s">
        <v>337</v>
      </c>
      <c r="F38" s="259" t="s">
        <v>340</v>
      </c>
      <c r="G38" s="259"/>
      <c r="H38" s="259"/>
      <c r="I38" s="259"/>
      <c r="J38" s="259"/>
      <c r="K38" s="318"/>
    </row>
    <row r="39" spans="1:11">
      <c r="A39" s="320" t="s">
        <v>511</v>
      </c>
      <c r="B39" s="321"/>
      <c r="D39" s="160" t="s">
        <v>340</v>
      </c>
      <c r="E39" s="161" t="s">
        <v>337</v>
      </c>
      <c r="F39" s="259" t="s">
        <v>540</v>
      </c>
      <c r="G39" s="259"/>
      <c r="H39" s="259"/>
      <c r="I39" s="259" t="s">
        <v>596</v>
      </c>
      <c r="J39" s="259"/>
      <c r="K39" s="318"/>
    </row>
    <row r="40" spans="1:11">
      <c r="A40" s="320"/>
      <c r="B40" s="321"/>
      <c r="D40" s="160" t="s">
        <v>340</v>
      </c>
      <c r="E40" s="161" t="s">
        <v>337</v>
      </c>
      <c r="F40" s="259" t="s">
        <v>340</v>
      </c>
      <c r="G40" s="259"/>
      <c r="H40" s="259"/>
      <c r="I40" s="259"/>
      <c r="J40" s="259"/>
      <c r="K40" s="318"/>
    </row>
    <row r="41" spans="1:11">
      <c r="A41" s="166" t="s">
        <v>512</v>
      </c>
      <c r="B41" s="12"/>
      <c r="D41" s="160" t="s">
        <v>340</v>
      </c>
      <c r="E41" s="161" t="s">
        <v>337</v>
      </c>
      <c r="F41" s="259" t="s">
        <v>584</v>
      </c>
      <c r="G41" s="259"/>
      <c r="H41" s="259"/>
      <c r="I41" s="259"/>
      <c r="J41" s="259"/>
      <c r="K41" s="318"/>
    </row>
    <row r="42" spans="1:11">
      <c r="A42" s="39"/>
      <c r="B42" s="48"/>
      <c r="C42" s="48"/>
      <c r="D42" s="21"/>
      <c r="E42" s="50"/>
      <c r="F42" s="50"/>
      <c r="G42" s="49"/>
      <c r="H42" s="49"/>
      <c r="I42" s="49"/>
      <c r="J42" s="49"/>
      <c r="K42" s="44"/>
    </row>
    <row r="43" spans="1:11">
      <c r="A43" s="38"/>
      <c r="B43" s="12"/>
      <c r="D43" s="21"/>
      <c r="E43" s="50"/>
      <c r="F43" s="50"/>
      <c r="G43" s="49"/>
      <c r="H43" s="49"/>
      <c r="I43" s="49"/>
      <c r="J43" s="49"/>
      <c r="K43" s="44"/>
    </row>
    <row r="44" spans="1:11">
      <c r="A44" s="38"/>
      <c r="B44" s="12"/>
      <c r="D44" s="21"/>
      <c r="E44" s="50"/>
      <c r="F44" s="50"/>
      <c r="G44" s="49"/>
      <c r="H44" s="49"/>
      <c r="I44" s="49"/>
      <c r="J44" s="49"/>
      <c r="K44" s="44"/>
    </row>
    <row r="45" spans="1:11">
      <c r="A45" s="38"/>
      <c r="B45" s="12"/>
      <c r="D45" s="21"/>
      <c r="E45" s="50"/>
      <c r="F45" s="50"/>
      <c r="G45" s="49"/>
      <c r="H45" s="49"/>
      <c r="I45" s="49"/>
      <c r="J45" s="49"/>
      <c r="K45" s="44"/>
    </row>
    <row r="46" spans="1:11" ht="15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261" t="s">
        <v>13</v>
      </c>
      <c r="B47" s="261"/>
      <c r="C47" s="298"/>
      <c r="D47" s="298"/>
      <c r="E47" s="298"/>
      <c r="F47" s="298"/>
      <c r="G47" s="298"/>
      <c r="H47" s="298"/>
      <c r="I47" s="298"/>
      <c r="J47" s="298"/>
      <c r="K47" s="298"/>
    </row>
    <row r="48" spans="1:11">
      <c r="A48" s="14" t="s">
        <v>14</v>
      </c>
      <c r="E48" s="15" t="s">
        <v>16</v>
      </c>
      <c r="I48" s="15" t="s">
        <v>17</v>
      </c>
    </row>
    <row r="49" spans="1:11">
      <c r="I49" s="31"/>
    </row>
    <row r="50" spans="1:11">
      <c r="A50" s="218" t="s">
        <v>25</v>
      </c>
      <c r="B50" s="218"/>
      <c r="C50" s="218"/>
      <c r="D50" s="218"/>
      <c r="E50" s="218" t="s">
        <v>171</v>
      </c>
      <c r="F50" s="218"/>
      <c r="G50" s="218"/>
      <c r="H50" s="218"/>
      <c r="I50" s="219" t="s">
        <v>120</v>
      </c>
      <c r="J50" s="219"/>
      <c r="K50" s="219"/>
    </row>
    <row r="51" spans="1:11">
      <c r="A51" s="230" t="s">
        <v>15</v>
      </c>
      <c r="B51" s="230"/>
      <c r="C51" s="230"/>
      <c r="D51" s="230"/>
      <c r="E51" s="231" t="s">
        <v>172</v>
      </c>
      <c r="F51" s="231"/>
      <c r="G51" s="231"/>
      <c r="H51" s="231"/>
      <c r="I51" s="231" t="s">
        <v>113</v>
      </c>
      <c r="J51" s="231"/>
      <c r="K51" s="231"/>
    </row>
    <row r="52" spans="1:11">
      <c r="A52" s="231" t="str">
        <f>IF(A50=A59,"Lic. No. 0091946",IF(A50=A60,"Lic. No. 0068902",IF(A50=A61,"Lic. No. 0081395",IF(A50=A62,"Lic. No. 0054465",IF(A50=A63,"Lic. No. 0060939")))))</f>
        <v>Lic. No. 0068902</v>
      </c>
      <c r="B52" s="231"/>
      <c r="C52" s="231"/>
      <c r="D52" s="231"/>
      <c r="E52" s="231" t="s">
        <v>173</v>
      </c>
      <c r="F52" s="231"/>
      <c r="G52" s="231"/>
      <c r="H52" s="231"/>
      <c r="I52" s="231" t="s">
        <v>121</v>
      </c>
      <c r="J52" s="231"/>
      <c r="K52" s="231"/>
    </row>
    <row r="53" spans="1:11">
      <c r="A53" s="231"/>
      <c r="B53" s="231"/>
      <c r="C53" s="231"/>
      <c r="D53" s="231"/>
      <c r="E53" s="231"/>
      <c r="F53" s="231"/>
      <c r="G53" s="231"/>
      <c r="H53" s="231"/>
      <c r="I53" s="231"/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59" spans="1:11">
      <c r="A59" s="33" t="s">
        <v>616</v>
      </c>
      <c r="B59" s="33" t="s">
        <v>617</v>
      </c>
    </row>
    <row r="60" spans="1:11">
      <c r="A60" s="34" t="s">
        <v>25</v>
      </c>
      <c r="B60" s="35" t="s">
        <v>26</v>
      </c>
    </row>
    <row r="61" spans="1:11">
      <c r="A61" s="34" t="s">
        <v>22</v>
      </c>
      <c r="B61" s="35" t="s">
        <v>23</v>
      </c>
    </row>
    <row r="62" spans="1:11">
      <c r="A62" t="s">
        <v>614</v>
      </c>
      <c r="B62" t="s">
        <v>615</v>
      </c>
    </row>
    <row r="63" spans="1:11">
      <c r="A63" t="s">
        <v>160</v>
      </c>
      <c r="B63" t="s">
        <v>161</v>
      </c>
    </row>
    <row r="64" spans="1:11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1:9" hidden="1"/>
    <row r="114" spans="1:9" hidden="1"/>
    <row r="115" spans="1:9" hidden="1"/>
    <row r="116" spans="1:9" hidden="1"/>
    <row r="117" spans="1:9" hidden="1"/>
    <row r="118" spans="1:9" hidden="1"/>
    <row r="119" spans="1:9" hidden="1"/>
    <row r="120" spans="1:9" hidden="1"/>
    <row r="121" spans="1:9" hidden="1"/>
    <row r="122" spans="1:9" hidden="1"/>
    <row r="123" spans="1:9" hidden="1"/>
    <row r="124" spans="1:9" hidden="1"/>
    <row r="125" spans="1:9">
      <c r="C125" s="22"/>
      <c r="D125" s="29"/>
      <c r="E125" s="24"/>
      <c r="H125" s="30"/>
      <c r="I125" s="26"/>
    </row>
    <row r="126" spans="1:9">
      <c r="A126" s="167" t="s">
        <v>515</v>
      </c>
      <c r="B126" s="167" t="s">
        <v>516</v>
      </c>
      <c r="C126" s="168" t="s">
        <v>574</v>
      </c>
      <c r="D126" s="167" t="s">
        <v>588</v>
      </c>
      <c r="E126" s="170" t="s">
        <v>575</v>
      </c>
      <c r="F126" s="170" t="s">
        <v>576</v>
      </c>
      <c r="G126" s="167" t="s">
        <v>593</v>
      </c>
      <c r="H126" s="167" t="s">
        <v>577</v>
      </c>
      <c r="I126" s="26"/>
    </row>
    <row r="127" spans="1:9">
      <c r="A127" t="s">
        <v>350</v>
      </c>
      <c r="B127" s="22" t="s">
        <v>363</v>
      </c>
      <c r="C127" t="s">
        <v>340</v>
      </c>
      <c r="E127" s="23" t="s">
        <v>340</v>
      </c>
      <c r="F127" s="23" t="s">
        <v>340</v>
      </c>
      <c r="H127" t="s">
        <v>340</v>
      </c>
      <c r="I127" s="26"/>
    </row>
    <row r="128" spans="1:9">
      <c r="A128" t="s">
        <v>351</v>
      </c>
      <c r="B128" s="22" t="s">
        <v>364</v>
      </c>
      <c r="C128" s="21" t="s">
        <v>549</v>
      </c>
      <c r="D128" t="s">
        <v>608</v>
      </c>
      <c r="E128" s="23" t="s">
        <v>461</v>
      </c>
      <c r="F128" s="21" t="s">
        <v>528</v>
      </c>
      <c r="G128" t="s">
        <v>594</v>
      </c>
      <c r="H128" t="s">
        <v>585</v>
      </c>
      <c r="I128" s="26"/>
    </row>
    <row r="129" spans="1:9">
      <c r="A129" t="s">
        <v>352</v>
      </c>
      <c r="B129" s="22" t="s">
        <v>365</v>
      </c>
      <c r="C129" t="s">
        <v>550</v>
      </c>
      <c r="D129" t="s">
        <v>609</v>
      </c>
      <c r="E129" s="23" t="s">
        <v>462</v>
      </c>
      <c r="F129" t="s">
        <v>539</v>
      </c>
      <c r="G129" t="s">
        <v>595</v>
      </c>
      <c r="H129" t="s">
        <v>586</v>
      </c>
      <c r="I129" s="26"/>
    </row>
    <row r="130" spans="1:9">
      <c r="A130" t="s">
        <v>353</v>
      </c>
      <c r="B130" s="22" t="s">
        <v>366</v>
      </c>
      <c r="C130" t="s">
        <v>551</v>
      </c>
      <c r="D130" t="s">
        <v>610</v>
      </c>
      <c r="E130" s="23"/>
      <c r="F130" t="s">
        <v>529</v>
      </c>
      <c r="G130" t="s">
        <v>596</v>
      </c>
      <c r="H130" t="s">
        <v>578</v>
      </c>
      <c r="I130" s="26"/>
    </row>
    <row r="131" spans="1:9">
      <c r="A131" t="s">
        <v>354</v>
      </c>
      <c r="B131" s="22" t="s">
        <v>367</v>
      </c>
      <c r="C131" t="s">
        <v>552</v>
      </c>
      <c r="D131" t="s">
        <v>589</v>
      </c>
      <c r="F131" t="s">
        <v>540</v>
      </c>
      <c r="G131" t="s">
        <v>597</v>
      </c>
      <c r="H131" t="s">
        <v>587</v>
      </c>
    </row>
    <row r="132" spans="1:9">
      <c r="A132" t="s">
        <v>357</v>
      </c>
      <c r="B132" s="22" t="s">
        <v>579</v>
      </c>
      <c r="C132" t="s">
        <v>553</v>
      </c>
      <c r="D132" t="s">
        <v>590</v>
      </c>
      <c r="F132" t="s">
        <v>541</v>
      </c>
      <c r="G132" t="s">
        <v>591</v>
      </c>
      <c r="H132" t="s">
        <v>454</v>
      </c>
    </row>
    <row r="133" spans="1:9">
      <c r="A133" t="s">
        <v>513</v>
      </c>
      <c r="C133" t="s">
        <v>554</v>
      </c>
      <c r="D133" t="s">
        <v>591</v>
      </c>
      <c r="F133" t="s">
        <v>542</v>
      </c>
      <c r="G133" t="s">
        <v>592</v>
      </c>
      <c r="H133" t="s">
        <v>581</v>
      </c>
    </row>
    <row r="134" spans="1:9">
      <c r="A134" t="s">
        <v>358</v>
      </c>
      <c r="C134" t="s">
        <v>555</v>
      </c>
      <c r="D134" t="s">
        <v>592</v>
      </c>
      <c r="F134" s="21" t="s">
        <v>531</v>
      </c>
      <c r="G134" t="s">
        <v>598</v>
      </c>
      <c r="H134" t="s">
        <v>582</v>
      </c>
    </row>
    <row r="135" spans="1:9">
      <c r="A135" t="s">
        <v>514</v>
      </c>
      <c r="C135" t="s">
        <v>556</v>
      </c>
      <c r="D135" t="s">
        <v>611</v>
      </c>
      <c r="F135" t="s">
        <v>535</v>
      </c>
      <c r="G135" t="s">
        <v>599</v>
      </c>
      <c r="H135" t="s">
        <v>583</v>
      </c>
    </row>
    <row r="136" spans="1:9">
      <c r="A136" t="s">
        <v>89</v>
      </c>
      <c r="C136" t="s">
        <v>557</v>
      </c>
      <c r="F136" t="s">
        <v>532</v>
      </c>
      <c r="G136" t="s">
        <v>600</v>
      </c>
      <c r="H136" t="s">
        <v>584</v>
      </c>
    </row>
    <row r="137" spans="1:9">
      <c r="A137" t="s">
        <v>355</v>
      </c>
      <c r="C137" t="s">
        <v>558</v>
      </c>
      <c r="F137" t="s">
        <v>533</v>
      </c>
      <c r="G137" t="s">
        <v>601</v>
      </c>
      <c r="H137" t="s">
        <v>580</v>
      </c>
    </row>
    <row r="138" spans="1:9">
      <c r="A138" t="s">
        <v>356</v>
      </c>
      <c r="C138" s="21" t="s">
        <v>559</v>
      </c>
      <c r="F138" t="s">
        <v>537</v>
      </c>
      <c r="G138" t="s">
        <v>602</v>
      </c>
    </row>
    <row r="139" spans="1:9">
      <c r="A139" t="s">
        <v>359</v>
      </c>
      <c r="C139" t="s">
        <v>523</v>
      </c>
      <c r="F139" t="s">
        <v>538</v>
      </c>
      <c r="G139" t="s">
        <v>603</v>
      </c>
    </row>
    <row r="140" spans="1:9">
      <c r="A140" t="s">
        <v>360</v>
      </c>
      <c r="C140" t="s">
        <v>524</v>
      </c>
      <c r="F140" t="s">
        <v>534</v>
      </c>
      <c r="G140" t="s">
        <v>612</v>
      </c>
    </row>
    <row r="141" spans="1:9">
      <c r="A141" t="s">
        <v>361</v>
      </c>
      <c r="C141" t="s">
        <v>517</v>
      </c>
      <c r="F141" t="s">
        <v>530</v>
      </c>
      <c r="G141" t="s">
        <v>604</v>
      </c>
    </row>
    <row r="142" spans="1:9">
      <c r="A142" t="s">
        <v>362</v>
      </c>
      <c r="C142" t="s">
        <v>518</v>
      </c>
      <c r="F142" s="21" t="s">
        <v>536</v>
      </c>
      <c r="G142" t="s">
        <v>605</v>
      </c>
    </row>
    <row r="143" spans="1:9">
      <c r="C143" t="s">
        <v>519</v>
      </c>
      <c r="F143" t="s">
        <v>544</v>
      </c>
      <c r="G143" t="s">
        <v>606</v>
      </c>
    </row>
    <row r="144" spans="1:9">
      <c r="C144" t="s">
        <v>520</v>
      </c>
      <c r="F144" t="s">
        <v>543</v>
      </c>
      <c r="G144" t="s">
        <v>607</v>
      </c>
    </row>
    <row r="145" spans="3:7">
      <c r="C145" t="s">
        <v>521</v>
      </c>
      <c r="F145" t="s">
        <v>545</v>
      </c>
      <c r="G145" t="s">
        <v>613</v>
      </c>
    </row>
    <row r="146" spans="3:7">
      <c r="C146" t="s">
        <v>522</v>
      </c>
      <c r="F146" t="s">
        <v>546</v>
      </c>
    </row>
    <row r="147" spans="3:7">
      <c r="C147" s="21" t="s">
        <v>560</v>
      </c>
      <c r="F147" t="s">
        <v>547</v>
      </c>
    </row>
    <row r="148" spans="3:7">
      <c r="C148" t="s">
        <v>630</v>
      </c>
      <c r="F148" t="s">
        <v>548</v>
      </c>
    </row>
    <row r="149" spans="3:7">
      <c r="F149" s="21" t="s">
        <v>560</v>
      </c>
    </row>
    <row r="150" spans="3:7">
      <c r="F150" t="s">
        <v>561</v>
      </c>
    </row>
    <row r="151" spans="3:7">
      <c r="F151" t="s">
        <v>562</v>
      </c>
    </row>
    <row r="152" spans="3:7">
      <c r="F152" t="s">
        <v>563</v>
      </c>
    </row>
    <row r="153" spans="3:7">
      <c r="F153" t="s">
        <v>564</v>
      </c>
    </row>
    <row r="154" spans="3:7">
      <c r="F154" t="s">
        <v>565</v>
      </c>
    </row>
    <row r="155" spans="3:7">
      <c r="F155" t="s">
        <v>571</v>
      </c>
    </row>
    <row r="156" spans="3:7">
      <c r="F156" t="s">
        <v>570</v>
      </c>
    </row>
    <row r="157" spans="3:7">
      <c r="F157" t="s">
        <v>566</v>
      </c>
    </row>
    <row r="158" spans="3:7">
      <c r="F158" t="s">
        <v>567</v>
      </c>
    </row>
    <row r="159" spans="3:7">
      <c r="F159" t="s">
        <v>568</v>
      </c>
    </row>
    <row r="160" spans="3:7">
      <c r="F160" t="s">
        <v>569</v>
      </c>
    </row>
    <row r="161" spans="6:6">
      <c r="F161" t="s">
        <v>572</v>
      </c>
    </row>
    <row r="162" spans="6:6">
      <c r="F162" t="s">
        <v>573</v>
      </c>
    </row>
  </sheetData>
  <mergeCells count="80">
    <mergeCell ref="A33:C33"/>
    <mergeCell ref="D31:E31"/>
    <mergeCell ref="F31:I31"/>
    <mergeCell ref="D30:E30"/>
    <mergeCell ref="F30:I30"/>
    <mergeCell ref="E53:G53"/>
    <mergeCell ref="A46:K46"/>
    <mergeCell ref="A51:D51"/>
    <mergeCell ref="A52:D52"/>
    <mergeCell ref="A53:D53"/>
    <mergeCell ref="H53:K53"/>
    <mergeCell ref="A50:D50"/>
    <mergeCell ref="E50:H50"/>
    <mergeCell ref="I50:K50"/>
    <mergeCell ref="E51:H51"/>
    <mergeCell ref="I51:K51"/>
    <mergeCell ref="E52:H52"/>
    <mergeCell ref="I52:K52"/>
    <mergeCell ref="A47:B47"/>
    <mergeCell ref="C47:K47"/>
    <mergeCell ref="D29:E29"/>
    <mergeCell ref="A24:K24"/>
    <mergeCell ref="A25:C25"/>
    <mergeCell ref="D25:E25"/>
    <mergeCell ref="F27:I27"/>
    <mergeCell ref="F28:I28"/>
    <mergeCell ref="D27:E27"/>
    <mergeCell ref="D28:E28"/>
    <mergeCell ref="J27:K27"/>
    <mergeCell ref="J28:K28"/>
    <mergeCell ref="F29:H29"/>
    <mergeCell ref="F25:H25"/>
    <mergeCell ref="A22:K23"/>
    <mergeCell ref="A18:C18"/>
    <mergeCell ref="D18:E18"/>
    <mergeCell ref="F18:G18"/>
    <mergeCell ref="H18:K18"/>
    <mergeCell ref="A19:C19"/>
    <mergeCell ref="D19:E19"/>
    <mergeCell ref="F19:G19"/>
    <mergeCell ref="H19:K19"/>
    <mergeCell ref="A21:C21"/>
    <mergeCell ref="D21:E21"/>
    <mergeCell ref="F21:G21"/>
    <mergeCell ref="H21:I21"/>
    <mergeCell ref="J21:K21"/>
    <mergeCell ref="A15:C15"/>
    <mergeCell ref="E15:G15"/>
    <mergeCell ref="I15:K15"/>
    <mergeCell ref="A16:C16"/>
    <mergeCell ref="E16:G16"/>
    <mergeCell ref="I16:K16"/>
    <mergeCell ref="A9:K9"/>
    <mergeCell ref="A11:C11"/>
    <mergeCell ref="D11:F11"/>
    <mergeCell ref="A12:C12"/>
    <mergeCell ref="D12:F12"/>
    <mergeCell ref="G12:I12"/>
    <mergeCell ref="J12:K12"/>
    <mergeCell ref="A39:B40"/>
    <mergeCell ref="F39:H39"/>
    <mergeCell ref="F38:H38"/>
    <mergeCell ref="F40:H40"/>
    <mergeCell ref="F41:H41"/>
    <mergeCell ref="I41:K41"/>
    <mergeCell ref="I25:K25"/>
    <mergeCell ref="F33:H33"/>
    <mergeCell ref="I33:K33"/>
    <mergeCell ref="I29:K29"/>
    <mergeCell ref="I38:K38"/>
    <mergeCell ref="J30:K30"/>
    <mergeCell ref="J31:K31"/>
    <mergeCell ref="J35:K35"/>
    <mergeCell ref="J36:K36"/>
    <mergeCell ref="J37:K37"/>
    <mergeCell ref="H36:I36"/>
    <mergeCell ref="H37:I37"/>
    <mergeCell ref="H35:I35"/>
    <mergeCell ref="I39:K39"/>
    <mergeCell ref="I40:K40"/>
  </mergeCells>
  <dataValidations disablePrompts="1" count="9">
    <dataValidation type="list" allowBlank="1" showInputMessage="1" showErrorMessage="1" sqref="A50:D50" xr:uid="{5661A32F-C8BB-47F0-AAB4-F64FDC02965B}">
      <formula1>$A$59:$A$63</formula1>
    </dataValidation>
    <dataValidation type="list" allowBlank="1" showInputMessage="1" showErrorMessage="1" sqref="D27" xr:uid="{E33EDD75-3D7B-4487-859F-07F76950E001}">
      <formula1>$A$127:$A$142</formula1>
    </dataValidation>
    <dataValidation type="list" allowBlank="1" showInputMessage="1" showErrorMessage="1" sqref="D28:E28" xr:uid="{58C1F13A-6544-4FD8-9563-65FC67D0B6D2}">
      <formula1>$B$127:$B$132131</formula1>
    </dataValidation>
    <dataValidation type="list" allowBlank="1" showInputMessage="1" showErrorMessage="1" sqref="F29" xr:uid="{AF9CA65B-19AD-48E6-BFCF-1CE9B655C280}">
      <formula1>$C$127:$C$146</formula1>
    </dataValidation>
    <dataValidation type="list" allowBlank="1" showInputMessage="1" showErrorMessage="1" sqref="F38 I38" xr:uid="{B29BE41E-0762-4054-AEAF-17F3B03C7B69}">
      <formula1>$E$127:$E$129</formula1>
    </dataValidation>
    <dataValidation type="list" allowBlank="1" showInputMessage="1" showErrorMessage="1" sqref="F39:F40" xr:uid="{02DF274F-AA49-4AFF-B336-243A87567370}">
      <formula1>$F$127:$F$162</formula1>
    </dataValidation>
    <dataValidation type="list" allowBlank="1" showInputMessage="1" showErrorMessage="1" sqref="F41" xr:uid="{4264AFA7-3CF5-4DA3-88D6-DDC20CB97DE5}">
      <formula1>$H$127:$H$137</formula1>
    </dataValidation>
    <dataValidation type="list" allowBlank="1" showInputMessage="1" showErrorMessage="1" sqref="I29:K29" xr:uid="{3DE4C6D1-0F70-4824-95EF-D09BBDEB4AF4}">
      <formula1>$D$127:$D$135</formula1>
    </dataValidation>
    <dataValidation type="list" allowBlank="1" showInputMessage="1" showErrorMessage="1" sqref="I39:K40" xr:uid="{E65253FA-9E07-4B0B-8E61-26F10CC257F5}">
      <formula1>$G$127:$G$144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&amp;RDOH-CHD7-CL-Form-13 Rev. 0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B948D-313A-4130-BEE0-5F6D22B17028}">
  <dimension ref="A1:K150"/>
  <sheetViews>
    <sheetView view="pageLayout" topLeftCell="A9" zoomScaleNormal="100" workbookViewId="0">
      <selection activeCell="A22" sqref="A22:K23"/>
    </sheetView>
  </sheetViews>
  <sheetFormatPr defaultColWidth="9.44140625" defaultRowHeight="14.4"/>
  <cols>
    <col min="1" max="11" width="9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7.9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6500000000000004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301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28</v>
      </c>
      <c r="G19" s="181"/>
      <c r="H19" s="179"/>
      <c r="I19" s="180"/>
      <c r="J19" s="180"/>
      <c r="K19" s="181"/>
    </row>
    <row r="20" spans="1:11" ht="14.4" customHeight="1">
      <c r="A20" s="19" t="s">
        <v>66</v>
      </c>
      <c r="B20" s="2"/>
      <c r="C20" s="2"/>
      <c r="D20" s="2"/>
      <c r="E20" s="3"/>
      <c r="F20" s="20" t="s">
        <v>67</v>
      </c>
      <c r="J20" s="19" t="s">
        <v>21</v>
      </c>
      <c r="K20" s="3"/>
    </row>
    <row r="21" spans="1:11" ht="15" thickBot="1">
      <c r="A21" s="182">
        <f>G12</f>
        <v>0</v>
      </c>
      <c r="B21" s="183"/>
      <c r="C21" s="183"/>
      <c r="D21" s="184">
        <v>0.375</v>
      </c>
      <c r="E21" s="185"/>
      <c r="F21" s="182">
        <f>A21</f>
        <v>0</v>
      </c>
      <c r="G21" s="183"/>
      <c r="H21" s="184">
        <v>0.45833333333333331</v>
      </c>
      <c r="I21" s="185"/>
      <c r="J21" s="199"/>
      <c r="K21" s="200"/>
    </row>
    <row r="22" spans="1:11" ht="14.4" customHeight="1">
      <c r="A22" s="302" t="s">
        <v>68</v>
      </c>
      <c r="B22" s="303"/>
      <c r="C22" s="303"/>
      <c r="D22" s="303"/>
      <c r="E22" s="303"/>
      <c r="F22" s="303"/>
      <c r="G22" s="303"/>
      <c r="H22" s="303"/>
      <c r="I22" s="303"/>
      <c r="J22" s="303"/>
      <c r="K22" s="304"/>
    </row>
    <row r="23" spans="1:11" ht="15" customHeight="1" thickBot="1">
      <c r="A23" s="305"/>
      <c r="B23" s="306"/>
      <c r="C23" s="306"/>
      <c r="D23" s="306"/>
      <c r="E23" s="306"/>
      <c r="F23" s="306"/>
      <c r="G23" s="306"/>
      <c r="H23" s="306"/>
      <c r="I23" s="306"/>
      <c r="J23" s="306"/>
      <c r="K23" s="307"/>
    </row>
    <row r="24" spans="1:11" ht="18" thickBot="1">
      <c r="A24" s="201" t="s">
        <v>102</v>
      </c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ht="15" thickBot="1">
      <c r="A25" s="323" t="s">
        <v>18</v>
      </c>
      <c r="B25" s="324"/>
      <c r="C25" s="324"/>
      <c r="D25" s="325"/>
      <c r="E25" s="323" t="s">
        <v>9</v>
      </c>
      <c r="F25" s="324"/>
      <c r="G25" s="325"/>
      <c r="H25" s="323" t="s">
        <v>10</v>
      </c>
      <c r="I25" s="325"/>
      <c r="J25" s="323" t="s">
        <v>631</v>
      </c>
      <c r="K25" s="325"/>
    </row>
    <row r="26" spans="1:11">
      <c r="A26" s="308" t="s">
        <v>70</v>
      </c>
      <c r="B26" s="229"/>
      <c r="C26" s="229"/>
      <c r="D26" s="2"/>
      <c r="E26" s="2"/>
      <c r="F26" s="2"/>
      <c r="J26" s="9"/>
      <c r="K26" s="5"/>
    </row>
    <row r="27" spans="1:11">
      <c r="A27" s="38"/>
      <c r="B27" s="155" t="s">
        <v>73</v>
      </c>
      <c r="D27" s="21"/>
      <c r="E27" s="292" t="s">
        <v>89</v>
      </c>
      <c r="F27" s="292"/>
      <c r="G27" s="292"/>
      <c r="H27" s="290" t="s">
        <v>95</v>
      </c>
      <c r="I27" s="290"/>
      <c r="J27" s="290" t="s">
        <v>95</v>
      </c>
      <c r="K27" s="295"/>
    </row>
    <row r="28" spans="1:11">
      <c r="A28" s="38"/>
      <c r="B28" s="155" t="s">
        <v>387</v>
      </c>
      <c r="D28" s="21"/>
      <c r="E28" s="292" t="s">
        <v>90</v>
      </c>
      <c r="F28" s="292"/>
      <c r="G28" s="292"/>
      <c r="H28" s="290" t="s">
        <v>95</v>
      </c>
      <c r="I28" s="290"/>
      <c r="J28" s="290" t="s">
        <v>95</v>
      </c>
      <c r="K28" s="295"/>
    </row>
    <row r="29" spans="1:11">
      <c r="A29" s="299" t="s">
        <v>71</v>
      </c>
      <c r="B29" s="300"/>
      <c r="C29" s="300"/>
      <c r="D29" s="21"/>
      <c r="E29" s="292"/>
      <c r="F29" s="292"/>
      <c r="G29" s="290"/>
      <c r="H29" s="290"/>
      <c r="I29" s="290"/>
      <c r="J29" s="290"/>
      <c r="K29" s="295"/>
    </row>
    <row r="30" spans="1:11" ht="14.1" customHeight="1">
      <c r="A30" s="38"/>
      <c r="B30" s="155" t="s">
        <v>72</v>
      </c>
      <c r="D30" s="21"/>
      <c r="E30" s="311" t="s">
        <v>155</v>
      </c>
      <c r="F30" s="311"/>
      <c r="G30" s="311"/>
      <c r="H30" s="290" t="s">
        <v>95</v>
      </c>
      <c r="I30" s="290"/>
      <c r="J30" s="290" t="s">
        <v>158</v>
      </c>
      <c r="K30" s="295"/>
    </row>
    <row r="31" spans="1:11" ht="14.1" customHeight="1">
      <c r="A31" s="38"/>
      <c r="B31" s="155" t="s">
        <v>74</v>
      </c>
      <c r="D31" s="21"/>
      <c r="E31" s="291" t="s">
        <v>92</v>
      </c>
      <c r="F31" s="291"/>
      <c r="G31" s="291"/>
      <c r="H31" s="290" t="s">
        <v>95</v>
      </c>
      <c r="I31" s="290"/>
      <c r="J31" s="290" t="s">
        <v>159</v>
      </c>
      <c r="K31" s="295"/>
    </row>
    <row r="32" spans="1:11">
      <c r="A32" s="299" t="s">
        <v>341</v>
      </c>
      <c r="B32" s="300"/>
      <c r="C32" s="300"/>
      <c r="D32" s="21"/>
      <c r="E32" s="292"/>
      <c r="F32" s="292"/>
      <c r="G32" s="290"/>
      <c r="H32" s="290"/>
      <c r="I32" s="290"/>
      <c r="J32" s="290"/>
      <c r="K32" s="295"/>
    </row>
    <row r="33" spans="1:11" ht="18">
      <c r="A33" s="38"/>
      <c r="B33" s="155" t="s">
        <v>342</v>
      </c>
      <c r="D33" s="21"/>
      <c r="E33" s="326" t="s">
        <v>91</v>
      </c>
      <c r="F33" s="326"/>
      <c r="G33" s="326"/>
      <c r="H33" s="290" t="s">
        <v>95</v>
      </c>
      <c r="I33" s="290"/>
      <c r="J33" s="290" t="s">
        <v>95</v>
      </c>
      <c r="K33" s="295"/>
    </row>
    <row r="34" spans="1:11" ht="13.35" customHeight="1">
      <c r="A34" s="38"/>
      <c r="B34" s="45"/>
      <c r="C34" s="45"/>
      <c r="D34" s="21"/>
      <c r="E34" s="296"/>
      <c r="F34" s="296"/>
      <c r="G34" s="293"/>
      <c r="H34" s="293"/>
      <c r="I34" s="293"/>
      <c r="J34" s="293"/>
      <c r="K34" s="294"/>
    </row>
    <row r="35" spans="1:11">
      <c r="A35" s="38"/>
      <c r="B35" s="45"/>
      <c r="C35" s="45"/>
      <c r="D35" s="21"/>
      <c r="E35" s="296"/>
      <c r="F35" s="296"/>
      <c r="G35" s="293"/>
      <c r="H35" s="293"/>
      <c r="I35" s="293"/>
      <c r="J35" s="293"/>
      <c r="K35" s="294"/>
    </row>
    <row r="36" spans="1:11">
      <c r="A36" s="38"/>
      <c r="B36" s="45"/>
      <c r="C36" s="45"/>
      <c r="D36" s="21"/>
      <c r="E36" s="296"/>
      <c r="F36" s="296"/>
      <c r="G36" s="293"/>
      <c r="H36" s="293"/>
      <c r="I36" s="293"/>
      <c r="J36" s="293"/>
      <c r="K36" s="294"/>
    </row>
    <row r="37" spans="1:11">
      <c r="A37" s="38"/>
      <c r="B37" s="45"/>
      <c r="C37" s="45"/>
      <c r="D37" s="21"/>
      <c r="E37" s="296"/>
      <c r="F37" s="296"/>
      <c r="G37" s="293"/>
      <c r="H37" s="293"/>
      <c r="I37" s="293"/>
      <c r="J37" s="293"/>
      <c r="K37" s="294"/>
    </row>
    <row r="38" spans="1:11">
      <c r="A38" s="38"/>
      <c r="B38" s="45"/>
      <c r="C38" s="45"/>
      <c r="D38" s="21"/>
      <c r="E38" s="296"/>
      <c r="F38" s="296"/>
      <c r="G38" s="293"/>
      <c r="H38" s="293"/>
      <c r="I38" s="293"/>
      <c r="J38" s="293"/>
      <c r="K38" s="294"/>
    </row>
    <row r="39" spans="1:11">
      <c r="A39" s="38"/>
      <c r="B39" s="45"/>
      <c r="C39" s="45"/>
      <c r="D39" s="21"/>
      <c r="E39" s="296"/>
      <c r="F39" s="296"/>
      <c r="G39" s="293"/>
      <c r="H39" s="293"/>
      <c r="I39" s="293"/>
      <c r="J39" s="293"/>
      <c r="K39" s="294"/>
    </row>
    <row r="40" spans="1:11">
      <c r="A40" s="38"/>
      <c r="B40" s="45"/>
      <c r="C40" s="45"/>
      <c r="D40" s="21"/>
      <c r="E40" s="296"/>
      <c r="F40" s="296"/>
      <c r="G40" s="293"/>
      <c r="H40" s="293"/>
      <c r="I40" s="293"/>
      <c r="J40" s="293"/>
      <c r="K40" s="294"/>
    </row>
    <row r="41" spans="1:11">
      <c r="A41" s="38"/>
      <c r="B41" s="45"/>
      <c r="C41" s="45"/>
      <c r="D41" s="21"/>
      <c r="E41" s="296"/>
      <c r="F41" s="296"/>
      <c r="G41" s="293"/>
      <c r="H41" s="293"/>
      <c r="I41" s="293"/>
      <c r="J41" s="293"/>
      <c r="K41" s="294"/>
    </row>
    <row r="42" spans="1:11">
      <c r="A42" s="38"/>
      <c r="B42" s="45"/>
      <c r="C42" s="45"/>
      <c r="D42" s="21"/>
      <c r="E42" s="296"/>
      <c r="F42" s="296"/>
      <c r="G42" s="293"/>
      <c r="H42" s="293"/>
      <c r="I42" s="293"/>
      <c r="J42" s="293"/>
      <c r="K42" s="294"/>
    </row>
    <row r="43" spans="1:11" ht="15" thickBot="1">
      <c r="A43" s="232" t="s">
        <v>12</v>
      </c>
      <c r="B43" s="233"/>
      <c r="C43" s="233"/>
      <c r="D43" s="233"/>
      <c r="E43" s="233"/>
      <c r="F43" s="233"/>
      <c r="G43" s="233"/>
      <c r="H43" s="233"/>
      <c r="I43" s="233"/>
      <c r="J43" s="233"/>
      <c r="K43" s="234"/>
    </row>
    <row r="44" spans="1:11">
      <c r="A44" s="327" t="s">
        <v>13</v>
      </c>
      <c r="B44" s="327"/>
      <c r="C44" s="298"/>
      <c r="D44" s="298"/>
      <c r="E44" s="298"/>
      <c r="F44" s="298"/>
      <c r="G44" s="298"/>
      <c r="H44" s="298"/>
      <c r="I44" s="298"/>
      <c r="J44" s="298"/>
      <c r="K44" s="298"/>
    </row>
    <row r="45" spans="1:11" ht="5.55" customHeight="1">
      <c r="A45" s="143"/>
      <c r="B45" s="143"/>
      <c r="C45" s="36"/>
      <c r="D45" s="36"/>
      <c r="E45" s="36"/>
      <c r="F45" s="36"/>
      <c r="G45" s="36"/>
      <c r="H45" s="36"/>
      <c r="I45" s="36"/>
      <c r="J45" s="36"/>
      <c r="K45" s="36"/>
    </row>
    <row r="46" spans="1:11">
      <c r="A46" s="14" t="s">
        <v>14</v>
      </c>
      <c r="E46" s="15" t="s">
        <v>16</v>
      </c>
      <c r="I46" s="15" t="s">
        <v>17</v>
      </c>
    </row>
    <row r="47" spans="1:11">
      <c r="A47" s="14"/>
      <c r="E47" s="15"/>
      <c r="I47" s="15"/>
    </row>
    <row r="48" spans="1:11">
      <c r="A48" s="14"/>
      <c r="E48" s="15"/>
      <c r="I48" s="15"/>
    </row>
    <row r="49" spans="1:11">
      <c r="I49" s="31"/>
    </row>
    <row r="50" spans="1:11">
      <c r="A50" s="218" t="s">
        <v>25</v>
      </c>
      <c r="B50" s="218"/>
      <c r="C50" s="218"/>
      <c r="D50" s="218"/>
      <c r="E50" s="218" t="s">
        <v>171</v>
      </c>
      <c r="F50" s="218"/>
      <c r="G50" s="218"/>
      <c r="H50" s="218"/>
      <c r="I50" s="219" t="s">
        <v>120</v>
      </c>
      <c r="J50" s="219"/>
      <c r="K50" s="219"/>
    </row>
    <row r="51" spans="1:11">
      <c r="A51" s="230" t="s">
        <v>15</v>
      </c>
      <c r="B51" s="230"/>
      <c r="C51" s="230"/>
      <c r="D51" s="230"/>
      <c r="E51" s="231" t="s">
        <v>172</v>
      </c>
      <c r="F51" s="231"/>
      <c r="G51" s="231"/>
      <c r="H51" s="231"/>
      <c r="I51" s="231" t="s">
        <v>113</v>
      </c>
      <c r="J51" s="231"/>
      <c r="K51" s="231"/>
    </row>
    <row r="52" spans="1:11">
      <c r="A52" s="231" t="str">
        <f>IF(A50=A59,"Lic. No. 0091946",IF(A50=A60,"Lic. No. 0068902",IF(A50=A61,"Lic. No. 0081395",IF(A50=A62,"Lic. No. 0054465",IF(A50=A63,"Lic. No. 0060939")))))</f>
        <v>Lic. No. 0068902</v>
      </c>
      <c r="B52" s="231"/>
      <c r="C52" s="231"/>
      <c r="D52" s="231"/>
      <c r="E52" s="231" t="s">
        <v>173</v>
      </c>
      <c r="F52" s="231"/>
      <c r="G52" s="231"/>
      <c r="H52" s="231"/>
      <c r="I52" s="231" t="s">
        <v>121</v>
      </c>
      <c r="J52" s="231"/>
      <c r="K52" s="231"/>
    </row>
    <row r="53" spans="1:11">
      <c r="A53" s="231"/>
      <c r="B53" s="231"/>
      <c r="C53" s="231"/>
      <c r="D53" s="231"/>
      <c r="E53" s="231"/>
      <c r="F53" s="231"/>
      <c r="G53" s="231"/>
      <c r="H53" s="231"/>
      <c r="I53" s="231"/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59" spans="1:11">
      <c r="A59" s="33" t="s">
        <v>616</v>
      </c>
      <c r="B59" s="33" t="s">
        <v>617</v>
      </c>
    </row>
    <row r="60" spans="1:11">
      <c r="A60" s="34" t="s">
        <v>25</v>
      </c>
      <c r="B60" s="35" t="s">
        <v>26</v>
      </c>
    </row>
    <row r="61" spans="1:11">
      <c r="A61" s="34" t="s">
        <v>22</v>
      </c>
      <c r="B61" s="35" t="s">
        <v>23</v>
      </c>
    </row>
    <row r="62" spans="1:11">
      <c r="A62" t="s">
        <v>614</v>
      </c>
      <c r="B62" t="s">
        <v>615</v>
      </c>
    </row>
    <row r="63" spans="1:11">
      <c r="A63" t="s">
        <v>160</v>
      </c>
      <c r="B63" t="s">
        <v>161</v>
      </c>
    </row>
    <row r="64" spans="1:11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3:9" hidden="1"/>
    <row r="114" spans="3:9" hidden="1"/>
    <row r="115" spans="3:9" hidden="1"/>
    <row r="116" spans="3:9" hidden="1"/>
    <row r="117" spans="3:9" hidden="1"/>
    <row r="118" spans="3:9" hidden="1"/>
    <row r="119" spans="3:9" hidden="1"/>
    <row r="120" spans="3:9" hidden="1"/>
    <row r="121" spans="3:9" hidden="1"/>
    <row r="122" spans="3:9" hidden="1"/>
    <row r="123" spans="3:9" hidden="1"/>
    <row r="124" spans="3:9" hidden="1"/>
    <row r="125" spans="3:9">
      <c r="C125" s="22"/>
      <c r="D125" s="29"/>
      <c r="E125" s="24"/>
      <c r="H125" s="30"/>
      <c r="I125" s="26"/>
    </row>
    <row r="126" spans="3:9">
      <c r="C126" s="22"/>
      <c r="D126" s="23"/>
      <c r="E126" s="24"/>
      <c r="H126" s="25"/>
      <c r="I126" s="26"/>
    </row>
    <row r="127" spans="3:9">
      <c r="C127" s="22"/>
      <c r="D127" s="23"/>
      <c r="E127" s="24"/>
      <c r="H127" s="25"/>
      <c r="I127" s="26"/>
    </row>
    <row r="128" spans="3:9">
      <c r="C128" s="22"/>
      <c r="D128" s="23"/>
      <c r="E128" s="24"/>
      <c r="H128" s="25"/>
      <c r="I128" s="26"/>
    </row>
    <row r="129" spans="1:9">
      <c r="C129" s="22"/>
      <c r="D129" s="23"/>
      <c r="E129" s="24"/>
      <c r="H129" s="25"/>
      <c r="I129" s="26"/>
    </row>
    <row r="130" spans="1:9">
      <c r="C130" s="22"/>
      <c r="D130" s="23"/>
      <c r="E130" s="24"/>
      <c r="H130" s="25"/>
      <c r="I130" s="26"/>
    </row>
    <row r="131" spans="1:9">
      <c r="A131" s="21" t="s">
        <v>371</v>
      </c>
      <c r="B131" s="21" t="s">
        <v>388</v>
      </c>
      <c r="D131" s="21" t="s">
        <v>72</v>
      </c>
      <c r="E131" s="21" t="s">
        <v>418</v>
      </c>
      <c r="G131" s="21" t="s">
        <v>9</v>
      </c>
    </row>
    <row r="132" spans="1:9">
      <c r="A132" t="s">
        <v>372</v>
      </c>
      <c r="B132" t="s">
        <v>90</v>
      </c>
      <c r="D132" s="152">
        <v>5</v>
      </c>
      <c r="E132" s="153">
        <v>1</v>
      </c>
    </row>
    <row r="133" spans="1:9">
      <c r="A133" t="s">
        <v>373</v>
      </c>
      <c r="B133" t="s">
        <v>389</v>
      </c>
      <c r="D133" s="152">
        <v>6</v>
      </c>
      <c r="E133" s="153">
        <v>1.0049999999999999</v>
      </c>
      <c r="G133" t="s">
        <v>166</v>
      </c>
    </row>
    <row r="134" spans="1:9">
      <c r="A134" t="s">
        <v>89</v>
      </c>
      <c r="B134" t="s">
        <v>390</v>
      </c>
      <c r="D134" s="152">
        <v>6.5</v>
      </c>
      <c r="E134" s="153">
        <v>1.01</v>
      </c>
      <c r="G134" t="s">
        <v>91</v>
      </c>
    </row>
    <row r="135" spans="1:9">
      <c r="A135" t="s">
        <v>374</v>
      </c>
      <c r="B135" t="s">
        <v>391</v>
      </c>
      <c r="D135" s="152">
        <v>7</v>
      </c>
      <c r="E135" s="153">
        <v>1.0149999999999999</v>
      </c>
    </row>
    <row r="136" spans="1:9">
      <c r="A136" t="s">
        <v>375</v>
      </c>
      <c r="B136" t="s">
        <v>392</v>
      </c>
      <c r="D136" s="152">
        <v>7.5</v>
      </c>
      <c r="E136" s="153">
        <v>1.02</v>
      </c>
    </row>
    <row r="137" spans="1:9">
      <c r="A137" t="s">
        <v>376</v>
      </c>
      <c r="D137" s="152">
        <v>8</v>
      </c>
      <c r="E137" s="153">
        <v>1.0249999999999999</v>
      </c>
    </row>
    <row r="138" spans="1:9">
      <c r="A138" t="s">
        <v>377</v>
      </c>
      <c r="D138" s="152">
        <v>9</v>
      </c>
      <c r="E138" s="153">
        <v>1.03</v>
      </c>
    </row>
    <row r="139" spans="1:9">
      <c r="A139" t="s">
        <v>383</v>
      </c>
    </row>
    <row r="140" spans="1:9">
      <c r="A140" t="s">
        <v>378</v>
      </c>
    </row>
    <row r="141" spans="1:9">
      <c r="A141" t="s">
        <v>356</v>
      </c>
    </row>
    <row r="142" spans="1:9">
      <c r="A142" t="s">
        <v>379</v>
      </c>
    </row>
    <row r="143" spans="1:9">
      <c r="A143" t="s">
        <v>380</v>
      </c>
    </row>
    <row r="144" spans="1:9">
      <c r="A144" t="s">
        <v>381</v>
      </c>
    </row>
    <row r="145" spans="1:1">
      <c r="A145" t="s">
        <v>382</v>
      </c>
    </row>
    <row r="146" spans="1:1">
      <c r="A146" t="s">
        <v>350</v>
      </c>
    </row>
    <row r="147" spans="1:1">
      <c r="A147" t="s">
        <v>384</v>
      </c>
    </row>
    <row r="148" spans="1:1">
      <c r="A148" t="s">
        <v>362</v>
      </c>
    </row>
    <row r="149" spans="1:1">
      <c r="A149" t="s">
        <v>385</v>
      </c>
    </row>
    <row r="150" spans="1:1">
      <c r="A150" t="s">
        <v>386</v>
      </c>
    </row>
  </sheetData>
  <mergeCells count="99">
    <mergeCell ref="E53:G53"/>
    <mergeCell ref="A43:K43"/>
    <mergeCell ref="A51:D51"/>
    <mergeCell ref="A52:D52"/>
    <mergeCell ref="A53:D53"/>
    <mergeCell ref="H53:K53"/>
    <mergeCell ref="A50:D50"/>
    <mergeCell ref="E50:H50"/>
    <mergeCell ref="I50:K50"/>
    <mergeCell ref="E51:H51"/>
    <mergeCell ref="I51:K51"/>
    <mergeCell ref="E52:H52"/>
    <mergeCell ref="I52:K52"/>
    <mergeCell ref="A44:B44"/>
    <mergeCell ref="C44:K44"/>
    <mergeCell ref="E39:F39"/>
    <mergeCell ref="G39:H39"/>
    <mergeCell ref="I39:K39"/>
    <mergeCell ref="E40:F40"/>
    <mergeCell ref="G40:H40"/>
    <mergeCell ref="I40:K40"/>
    <mergeCell ref="E41:F41"/>
    <mergeCell ref="G41:H41"/>
    <mergeCell ref="I41:K41"/>
    <mergeCell ref="E42:F42"/>
    <mergeCell ref="G42:H42"/>
    <mergeCell ref="I42:K42"/>
    <mergeCell ref="E37:F37"/>
    <mergeCell ref="G37:H37"/>
    <mergeCell ref="I37:K37"/>
    <mergeCell ref="E38:F38"/>
    <mergeCell ref="G38:H38"/>
    <mergeCell ref="I38:K38"/>
    <mergeCell ref="E35:F35"/>
    <mergeCell ref="G35:H35"/>
    <mergeCell ref="I35:K35"/>
    <mergeCell ref="E36:F36"/>
    <mergeCell ref="G36:H36"/>
    <mergeCell ref="I36:K36"/>
    <mergeCell ref="A24:K24"/>
    <mergeCell ref="A26:C26"/>
    <mergeCell ref="H27:I27"/>
    <mergeCell ref="J27:K27"/>
    <mergeCell ref="E34:F34"/>
    <mergeCell ref="G34:H34"/>
    <mergeCell ref="I34:K34"/>
    <mergeCell ref="E32:F32"/>
    <mergeCell ref="G32:H32"/>
    <mergeCell ref="I32:K32"/>
    <mergeCell ref="E33:G33"/>
    <mergeCell ref="H33:I33"/>
    <mergeCell ref="J33:K33"/>
    <mergeCell ref="H31:I31"/>
    <mergeCell ref="J31:K31"/>
    <mergeCell ref="H25:I25"/>
    <mergeCell ref="A9:K9"/>
    <mergeCell ref="A11:C11"/>
    <mergeCell ref="D11:F11"/>
    <mergeCell ref="G11:K11"/>
    <mergeCell ref="A12:C12"/>
    <mergeCell ref="D12:F12"/>
    <mergeCell ref="G12:I12"/>
    <mergeCell ref="J12:K12"/>
    <mergeCell ref="A15:C15"/>
    <mergeCell ref="E15:G15"/>
    <mergeCell ref="I15:K15"/>
    <mergeCell ref="A16:C16"/>
    <mergeCell ref="E16:G16"/>
    <mergeCell ref="I16:K16"/>
    <mergeCell ref="A22:K23"/>
    <mergeCell ref="A18:C18"/>
    <mergeCell ref="D18:E18"/>
    <mergeCell ref="F18:G18"/>
    <mergeCell ref="H18:K18"/>
    <mergeCell ref="A19:C19"/>
    <mergeCell ref="D19:E19"/>
    <mergeCell ref="F19:G19"/>
    <mergeCell ref="H19:K19"/>
    <mergeCell ref="A21:C21"/>
    <mergeCell ref="D21:E21"/>
    <mergeCell ref="F21:G21"/>
    <mergeCell ref="H21:I21"/>
    <mergeCell ref="J21:K21"/>
    <mergeCell ref="J25:K25"/>
    <mergeCell ref="A29:C29"/>
    <mergeCell ref="H30:I30"/>
    <mergeCell ref="J30:K30"/>
    <mergeCell ref="E29:F29"/>
    <mergeCell ref="G29:H29"/>
    <mergeCell ref="I29:K29"/>
    <mergeCell ref="H28:I28"/>
    <mergeCell ref="J28:K28"/>
    <mergeCell ref="A32:C32"/>
    <mergeCell ref="A25:D25"/>
    <mergeCell ref="E30:G30"/>
    <mergeCell ref="E31:G31"/>
    <mergeCell ref="E28:G28"/>
    <mergeCell ref="E27:G27"/>
    <mergeCell ref="E25:G25"/>
  </mergeCells>
  <dataValidations disablePrompts="1" count="6">
    <dataValidation type="list" allowBlank="1" showInputMessage="1" showErrorMessage="1" sqref="A50:D50" xr:uid="{9BB0CCAD-E081-4A6C-8BDB-5E8D4DC50D13}">
      <formula1>$A$59:$A$63</formula1>
    </dataValidation>
    <dataValidation type="list" allowBlank="1" showInputMessage="1" showErrorMessage="1" sqref="E33:G33" xr:uid="{F0C2D620-BC98-44A4-85AC-59B171FBFC55}">
      <formula1>$G$132:$G$134</formula1>
    </dataValidation>
    <dataValidation type="list" allowBlank="1" showInputMessage="1" showErrorMessage="1" sqref="E27:G27" xr:uid="{2E665C83-9A36-4250-BDBE-A58F4D3FCD0A}">
      <formula1>$A$132:$A$150</formula1>
    </dataValidation>
    <dataValidation type="list" allowBlank="1" showInputMessage="1" showErrorMessage="1" sqref="E28:G28" xr:uid="{9123D5DE-159A-4BC1-9A20-DA9B0564B557}">
      <formula1>$B$132:$B$136</formula1>
    </dataValidation>
    <dataValidation type="list" allowBlank="1" showInputMessage="1" showErrorMessage="1" sqref="E30:G30" xr:uid="{EBF5C8C1-3C9A-41A0-83E1-38754A36C90A}">
      <formula1>$D$132:$D$138</formula1>
    </dataValidation>
    <dataValidation type="list" allowBlank="1" showInputMessage="1" showErrorMessage="1" sqref="E31:G31" xr:uid="{8935036B-E56E-43A3-A2F9-C17DBEFAF193}">
      <formula1>$E$132:$E$138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&amp;RDOH-CHD7-CL-Form-14 Rev. 0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C750-9198-4735-9379-7A0EAB690699}">
  <dimension ref="A1:K145"/>
  <sheetViews>
    <sheetView view="pageLayout" topLeftCell="A37" zoomScaleNormal="100" workbookViewId="0">
      <selection activeCell="A50" sqref="A50:D50"/>
    </sheetView>
  </sheetViews>
  <sheetFormatPr defaultColWidth="9.44140625" defaultRowHeight="14.4"/>
  <cols>
    <col min="1" max="11" width="9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7.9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6500000000000004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301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28</v>
      </c>
      <c r="G19" s="181"/>
      <c r="H19" s="179"/>
      <c r="I19" s="180"/>
      <c r="J19" s="180"/>
      <c r="K19" s="181"/>
    </row>
    <row r="20" spans="1:11" ht="14.4" customHeight="1">
      <c r="A20" s="19" t="s">
        <v>66</v>
      </c>
      <c r="B20" s="2"/>
      <c r="C20" s="2"/>
      <c r="D20" s="2"/>
      <c r="E20" s="3"/>
      <c r="F20" s="20" t="s">
        <v>67</v>
      </c>
      <c r="J20" s="19" t="s">
        <v>21</v>
      </c>
      <c r="K20" s="3"/>
    </row>
    <row r="21" spans="1:11" ht="15" thickBot="1">
      <c r="A21" s="182">
        <f>G12</f>
        <v>0</v>
      </c>
      <c r="B21" s="183"/>
      <c r="C21" s="183"/>
      <c r="D21" s="184">
        <v>0.375</v>
      </c>
      <c r="E21" s="185"/>
      <c r="F21" s="182">
        <f>A21</f>
        <v>0</v>
      </c>
      <c r="G21" s="183"/>
      <c r="H21" s="184">
        <v>0.45833333333333331</v>
      </c>
      <c r="I21" s="185"/>
      <c r="J21" s="199"/>
      <c r="K21" s="200"/>
    </row>
    <row r="22" spans="1:11" ht="14.4" customHeight="1">
      <c r="A22" s="302" t="s">
        <v>68</v>
      </c>
      <c r="B22" s="303"/>
      <c r="C22" s="303"/>
      <c r="D22" s="303"/>
      <c r="E22" s="303"/>
      <c r="F22" s="303"/>
      <c r="G22" s="303"/>
      <c r="H22" s="303"/>
      <c r="I22" s="303"/>
      <c r="J22" s="303"/>
      <c r="K22" s="304"/>
    </row>
    <row r="23" spans="1:11" ht="15" customHeight="1" thickBot="1">
      <c r="A23" s="305"/>
      <c r="B23" s="306"/>
      <c r="C23" s="306"/>
      <c r="D23" s="306"/>
      <c r="E23" s="306"/>
      <c r="F23" s="306"/>
      <c r="G23" s="306"/>
      <c r="H23" s="306"/>
      <c r="I23" s="306"/>
      <c r="J23" s="306"/>
      <c r="K23" s="307"/>
    </row>
    <row r="24" spans="1:11" ht="18" thickBot="1">
      <c r="A24" s="201" t="s">
        <v>101</v>
      </c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ht="15" thickBot="1">
      <c r="A25" s="323" t="s">
        <v>18</v>
      </c>
      <c r="B25" s="324"/>
      <c r="C25" s="324"/>
      <c r="D25" s="324"/>
      <c r="E25" s="325"/>
      <c r="F25" s="323" t="s">
        <v>9</v>
      </c>
      <c r="G25" s="324"/>
      <c r="H25" s="325"/>
      <c r="I25" s="323" t="s">
        <v>631</v>
      </c>
      <c r="J25" s="324"/>
      <c r="K25" s="325"/>
    </row>
    <row r="26" spans="1:11">
      <c r="A26" s="39" t="s">
        <v>70</v>
      </c>
      <c r="B26" s="39"/>
      <c r="C26" s="39"/>
      <c r="D26" s="21"/>
      <c r="E26" s="50"/>
      <c r="F26" s="50"/>
      <c r="G26" s="49"/>
      <c r="H26" s="49"/>
      <c r="I26" s="49"/>
      <c r="J26" s="49"/>
      <c r="K26" s="44"/>
    </row>
    <row r="27" spans="1:11">
      <c r="A27" s="166" t="s">
        <v>504</v>
      </c>
      <c r="B27" s="12"/>
      <c r="F27" s="292" t="s">
        <v>89</v>
      </c>
      <c r="G27" s="292"/>
      <c r="H27" s="292"/>
      <c r="J27" s="161" t="s">
        <v>95</v>
      </c>
      <c r="K27" s="44"/>
    </row>
    <row r="28" spans="1:11">
      <c r="A28" s="166" t="s">
        <v>505</v>
      </c>
      <c r="B28" s="12"/>
      <c r="F28" s="292" t="s">
        <v>367</v>
      </c>
      <c r="G28" s="292"/>
      <c r="H28" s="292"/>
      <c r="J28" s="161" t="s">
        <v>95</v>
      </c>
      <c r="K28" s="44"/>
    </row>
    <row r="29" spans="1:11">
      <c r="A29" s="38"/>
      <c r="B29" s="45"/>
      <c r="C29" s="45"/>
      <c r="D29" s="21"/>
      <c r="E29" s="296"/>
      <c r="F29" s="296"/>
      <c r="G29" s="293"/>
      <c r="H29" s="293"/>
      <c r="I29" s="293"/>
      <c r="J29" s="293"/>
      <c r="K29" s="294"/>
    </row>
    <row r="30" spans="1:11">
      <c r="A30" s="39" t="s">
        <v>526</v>
      </c>
      <c r="B30" s="45"/>
      <c r="C30" s="45"/>
      <c r="D30" s="21"/>
      <c r="E30" s="296"/>
      <c r="F30" s="296"/>
      <c r="G30" s="293"/>
      <c r="H30" s="293"/>
      <c r="I30" s="293"/>
      <c r="J30" s="293"/>
      <c r="K30" s="294"/>
    </row>
    <row r="31" spans="1:11">
      <c r="A31" s="329" t="s">
        <v>527</v>
      </c>
      <c r="B31" s="230"/>
      <c r="C31" s="230"/>
      <c r="D31" s="230"/>
      <c r="E31" s="230"/>
      <c r="F31" s="292" t="s">
        <v>166</v>
      </c>
      <c r="G31" s="292"/>
      <c r="H31" s="292"/>
      <c r="I31" s="290" t="s">
        <v>91</v>
      </c>
      <c r="J31" s="290"/>
      <c r="K31" s="295"/>
    </row>
    <row r="32" spans="1:11">
      <c r="A32" s="38"/>
      <c r="B32" s="328"/>
      <c r="C32" s="328"/>
      <c r="D32" s="328"/>
      <c r="E32" s="328"/>
      <c r="F32" s="328"/>
      <c r="G32" s="144"/>
      <c r="K32" s="145"/>
    </row>
    <row r="33" spans="1:11">
      <c r="A33" s="38"/>
      <c r="B33" s="45"/>
      <c r="C33" s="45"/>
      <c r="D33" s="21"/>
      <c r="E33" s="296"/>
      <c r="F33" s="296"/>
      <c r="G33" s="293"/>
      <c r="H33" s="293"/>
      <c r="I33" s="293"/>
      <c r="J33" s="293"/>
      <c r="K33" s="294"/>
    </row>
    <row r="34" spans="1:11">
      <c r="A34" s="38"/>
      <c r="B34" s="45"/>
      <c r="C34" s="45"/>
      <c r="D34" s="21"/>
      <c r="E34" s="296"/>
      <c r="F34" s="296"/>
      <c r="G34" s="293"/>
      <c r="H34" s="293"/>
      <c r="I34" s="293"/>
      <c r="J34" s="293"/>
      <c r="K34" s="294"/>
    </row>
    <row r="35" spans="1:11">
      <c r="A35" s="38"/>
      <c r="B35" s="45"/>
      <c r="C35" s="45"/>
      <c r="D35" s="21"/>
      <c r="E35" s="296"/>
      <c r="F35" s="296"/>
      <c r="G35" s="293"/>
      <c r="H35" s="293"/>
      <c r="I35" s="293"/>
      <c r="J35" s="293"/>
      <c r="K35" s="294"/>
    </row>
    <row r="36" spans="1:11">
      <c r="A36" s="38"/>
      <c r="B36" s="45"/>
      <c r="C36" s="45"/>
      <c r="D36" s="21"/>
      <c r="E36" s="296"/>
      <c r="F36" s="296"/>
      <c r="G36" s="293"/>
      <c r="H36" s="293"/>
      <c r="I36" s="293"/>
      <c r="J36" s="293"/>
      <c r="K36" s="294"/>
    </row>
    <row r="37" spans="1:11">
      <c r="A37" s="38"/>
      <c r="B37" s="45"/>
      <c r="C37" s="45"/>
      <c r="D37" s="21"/>
      <c r="E37" s="296"/>
      <c r="F37" s="296"/>
      <c r="G37" s="293"/>
      <c r="H37" s="293"/>
      <c r="I37" s="293"/>
      <c r="J37" s="293"/>
      <c r="K37" s="294"/>
    </row>
    <row r="38" spans="1:11">
      <c r="A38" s="38"/>
      <c r="B38" s="45"/>
      <c r="C38" s="45"/>
      <c r="D38" s="21"/>
      <c r="E38" s="296"/>
      <c r="F38" s="296"/>
      <c r="G38" s="293"/>
      <c r="H38" s="293"/>
      <c r="I38" s="293"/>
      <c r="J38" s="293"/>
      <c r="K38" s="294"/>
    </row>
    <row r="39" spans="1:11">
      <c r="A39" s="38"/>
      <c r="B39" s="45"/>
      <c r="C39" s="45"/>
      <c r="D39" s="21"/>
      <c r="E39" s="296"/>
      <c r="F39" s="296"/>
      <c r="G39" s="293"/>
      <c r="H39" s="293"/>
      <c r="I39" s="293"/>
      <c r="J39" s="293"/>
      <c r="K39" s="294"/>
    </row>
    <row r="40" spans="1:11">
      <c r="A40" s="38"/>
      <c r="B40" s="45"/>
      <c r="C40" s="45"/>
      <c r="D40" s="21"/>
      <c r="E40" s="296"/>
      <c r="F40" s="296"/>
      <c r="G40" s="293"/>
      <c r="H40" s="293"/>
      <c r="I40" s="293"/>
      <c r="J40" s="293"/>
      <c r="K40" s="294"/>
    </row>
    <row r="41" spans="1:11">
      <c r="A41" s="38"/>
      <c r="B41" s="45"/>
      <c r="C41" s="45"/>
      <c r="D41" s="21"/>
      <c r="E41" s="296"/>
      <c r="F41" s="296"/>
      <c r="G41" s="293"/>
      <c r="H41" s="293"/>
      <c r="I41" s="293"/>
      <c r="J41" s="293"/>
      <c r="K41" s="294"/>
    </row>
    <row r="42" spans="1:11" ht="15" thickBot="1">
      <c r="A42" s="232" t="s">
        <v>12</v>
      </c>
      <c r="B42" s="233"/>
      <c r="C42" s="233"/>
      <c r="D42" s="233"/>
      <c r="E42" s="233"/>
      <c r="F42" s="233"/>
      <c r="G42" s="233"/>
      <c r="H42" s="233"/>
      <c r="I42" s="233"/>
      <c r="J42" s="233"/>
      <c r="K42" s="234"/>
    </row>
    <row r="43" spans="1:11">
      <c r="A43" s="261" t="s">
        <v>13</v>
      </c>
      <c r="B43" s="261"/>
      <c r="C43" s="298"/>
      <c r="D43" s="298"/>
      <c r="E43" s="298"/>
      <c r="F43" s="298"/>
      <c r="G43" s="298"/>
      <c r="H43" s="298"/>
      <c r="I43" s="298"/>
      <c r="J43" s="298"/>
      <c r="K43" s="298"/>
    </row>
    <row r="44" spans="1:11">
      <c r="A44" s="14" t="s">
        <v>14</v>
      </c>
      <c r="E44" s="15" t="s">
        <v>16</v>
      </c>
      <c r="I44" s="15" t="s">
        <v>17</v>
      </c>
    </row>
    <row r="45" spans="1:11">
      <c r="A45" s="14"/>
      <c r="E45" s="15"/>
      <c r="I45" s="15"/>
    </row>
    <row r="46" spans="1:11">
      <c r="I46" s="31"/>
    </row>
    <row r="47" spans="1:11">
      <c r="A47" s="218" t="s">
        <v>25</v>
      </c>
      <c r="B47" s="218"/>
      <c r="C47" s="218"/>
      <c r="D47" s="218"/>
      <c r="E47" s="218" t="s">
        <v>171</v>
      </c>
      <c r="F47" s="218"/>
      <c r="G47" s="218"/>
      <c r="H47" s="218"/>
      <c r="I47" s="219" t="s">
        <v>120</v>
      </c>
      <c r="J47" s="219"/>
      <c r="K47" s="219"/>
    </row>
    <row r="48" spans="1:11">
      <c r="A48" s="230" t="s">
        <v>15</v>
      </c>
      <c r="B48" s="230"/>
      <c r="C48" s="230"/>
      <c r="D48" s="230"/>
      <c r="E48" s="231" t="s">
        <v>172</v>
      </c>
      <c r="F48" s="231"/>
      <c r="G48" s="231"/>
      <c r="H48" s="231"/>
      <c r="I48" s="231" t="s">
        <v>113</v>
      </c>
      <c r="J48" s="231"/>
      <c r="K48" s="231"/>
    </row>
    <row r="49" spans="1:11">
      <c r="A49" s="231" t="str">
        <f>IF(A47=A56,"Lic. No. 0091946",IF(A47=A57,"Lic. No. 0068902",IF(A47=A58,"Lic. No. 0081395",IF(A47=A59,"Lic. No. 0054465",IF(A47=A60,"Lic. No. 0060939")))))</f>
        <v>Lic. No. 0068902</v>
      </c>
      <c r="B49" s="231"/>
      <c r="C49" s="231"/>
      <c r="D49" s="231"/>
      <c r="E49" s="231" t="s">
        <v>173</v>
      </c>
      <c r="F49" s="231"/>
      <c r="G49" s="231"/>
      <c r="H49" s="231"/>
      <c r="I49" s="231" t="s">
        <v>121</v>
      </c>
      <c r="J49" s="231"/>
      <c r="K49" s="231"/>
    </row>
    <row r="50" spans="1:11">
      <c r="A50" s="231"/>
      <c r="B50" s="231"/>
      <c r="C50" s="231"/>
      <c r="D50" s="231"/>
      <c r="E50" s="231"/>
      <c r="F50" s="231"/>
      <c r="G50" s="231"/>
      <c r="H50" s="231"/>
      <c r="I50" s="231"/>
      <c r="J50" s="231"/>
      <c r="K50" s="231"/>
    </row>
    <row r="52" spans="1:11">
      <c r="A52" s="32"/>
      <c r="B52" s="32"/>
      <c r="C52" s="32"/>
      <c r="D52" s="32"/>
    </row>
    <row r="53" spans="1:11">
      <c r="C53" s="32"/>
      <c r="D53" s="32"/>
    </row>
    <row r="54" spans="1:11" ht="14.4" customHeight="1">
      <c r="C54" s="32"/>
      <c r="D54" s="32"/>
    </row>
    <row r="56" spans="1:11">
      <c r="A56" s="33" t="s">
        <v>616</v>
      </c>
      <c r="B56" s="33" t="s">
        <v>617</v>
      </c>
    </row>
    <row r="57" spans="1:11">
      <c r="A57" s="34" t="s">
        <v>25</v>
      </c>
      <c r="B57" s="35" t="s">
        <v>26</v>
      </c>
    </row>
    <row r="58" spans="1:11">
      <c r="A58" s="34" t="s">
        <v>22</v>
      </c>
      <c r="B58" s="35" t="s">
        <v>23</v>
      </c>
    </row>
    <row r="59" spans="1:11">
      <c r="A59" t="s">
        <v>614</v>
      </c>
      <c r="B59" t="s">
        <v>615</v>
      </c>
    </row>
    <row r="60" spans="1:11">
      <c r="A60" t="s">
        <v>160</v>
      </c>
      <c r="B60" t="s">
        <v>161</v>
      </c>
    </row>
    <row r="61" spans="1:11" hidden="1"/>
    <row r="62" spans="1:11" hidden="1"/>
    <row r="63" spans="1:11" hidden="1"/>
    <row r="64" spans="1:11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3:9" hidden="1"/>
    <row r="114" spans="3:9" hidden="1"/>
    <row r="115" spans="3:9" hidden="1"/>
    <row r="116" spans="3:9" hidden="1"/>
    <row r="117" spans="3:9" hidden="1"/>
    <row r="118" spans="3:9" hidden="1"/>
    <row r="119" spans="3:9" hidden="1"/>
    <row r="120" spans="3:9" hidden="1"/>
    <row r="121" spans="3:9" hidden="1"/>
    <row r="122" spans="3:9">
      <c r="C122" s="22"/>
      <c r="D122" s="29"/>
      <c r="E122" s="24"/>
      <c r="H122" s="30"/>
      <c r="I122" s="26"/>
    </row>
    <row r="123" spans="3:9">
      <c r="C123" s="22"/>
      <c r="D123" s="23"/>
      <c r="E123" s="24"/>
      <c r="H123" s="25"/>
      <c r="I123" s="26"/>
    </row>
    <row r="124" spans="3:9">
      <c r="C124" s="22"/>
      <c r="D124" s="23"/>
      <c r="E124" s="24"/>
      <c r="H124" s="25"/>
      <c r="I124" s="26"/>
    </row>
    <row r="125" spans="3:9">
      <c r="C125" s="22"/>
      <c r="D125" s="23"/>
      <c r="E125" s="24"/>
      <c r="H125" s="25"/>
      <c r="I125" s="26"/>
    </row>
    <row r="126" spans="3:9">
      <c r="C126" s="22"/>
      <c r="D126" s="23"/>
      <c r="E126" s="24"/>
      <c r="H126" s="25"/>
      <c r="I126" s="26"/>
    </row>
    <row r="127" spans="3:9">
      <c r="C127" s="22"/>
      <c r="D127" s="23"/>
      <c r="E127" s="24"/>
      <c r="H127" s="25"/>
      <c r="I127" s="26"/>
    </row>
    <row r="129" spans="1:4">
      <c r="A129" s="167" t="s">
        <v>515</v>
      </c>
      <c r="B129" s="167" t="s">
        <v>516</v>
      </c>
      <c r="D129" s="167" t="s">
        <v>9</v>
      </c>
    </row>
    <row r="130" spans="1:4">
      <c r="A130" t="s">
        <v>350</v>
      </c>
      <c r="B130" s="22" t="s">
        <v>363</v>
      </c>
    </row>
    <row r="131" spans="1:4">
      <c r="A131" t="s">
        <v>351</v>
      </c>
      <c r="B131" s="22" t="s">
        <v>364</v>
      </c>
      <c r="D131" t="s">
        <v>166</v>
      </c>
    </row>
    <row r="132" spans="1:4">
      <c r="A132" t="s">
        <v>352</v>
      </c>
      <c r="B132" s="22" t="s">
        <v>365</v>
      </c>
      <c r="D132" t="s">
        <v>91</v>
      </c>
    </row>
    <row r="133" spans="1:4">
      <c r="A133" t="s">
        <v>353</v>
      </c>
      <c r="B133" s="22" t="s">
        <v>366</v>
      </c>
    </row>
    <row r="134" spans="1:4">
      <c r="A134" t="s">
        <v>354</v>
      </c>
      <c r="B134" s="22" t="s">
        <v>367</v>
      </c>
    </row>
    <row r="135" spans="1:4">
      <c r="A135" t="s">
        <v>357</v>
      </c>
      <c r="B135" s="22" t="s">
        <v>579</v>
      </c>
    </row>
    <row r="136" spans="1:4">
      <c r="A136" t="s">
        <v>513</v>
      </c>
    </row>
    <row r="137" spans="1:4">
      <c r="A137" t="s">
        <v>358</v>
      </c>
    </row>
    <row r="138" spans="1:4">
      <c r="A138" t="s">
        <v>514</v>
      </c>
    </row>
    <row r="139" spans="1:4">
      <c r="A139" t="s">
        <v>89</v>
      </c>
    </row>
    <row r="140" spans="1:4">
      <c r="A140" t="s">
        <v>355</v>
      </c>
    </row>
    <row r="141" spans="1:4">
      <c r="A141" t="s">
        <v>356</v>
      </c>
    </row>
    <row r="142" spans="1:4">
      <c r="A142" t="s">
        <v>359</v>
      </c>
    </row>
    <row r="143" spans="1:4">
      <c r="A143" t="s">
        <v>360</v>
      </c>
    </row>
    <row r="144" spans="1:4">
      <c r="A144" t="s">
        <v>361</v>
      </c>
    </row>
    <row r="145" spans="1:1">
      <c r="A145" t="s">
        <v>362</v>
      </c>
    </row>
  </sheetData>
  <mergeCells count="86">
    <mergeCell ref="E50:G50"/>
    <mergeCell ref="A42:K42"/>
    <mergeCell ref="A48:D48"/>
    <mergeCell ref="A49:D49"/>
    <mergeCell ref="A50:D50"/>
    <mergeCell ref="H50:K50"/>
    <mergeCell ref="A47:D47"/>
    <mergeCell ref="E47:H47"/>
    <mergeCell ref="I47:K47"/>
    <mergeCell ref="E48:H48"/>
    <mergeCell ref="I48:K48"/>
    <mergeCell ref="E49:H49"/>
    <mergeCell ref="I49:K49"/>
    <mergeCell ref="A43:B43"/>
    <mergeCell ref="C43:K43"/>
    <mergeCell ref="E41:F41"/>
    <mergeCell ref="G41:H41"/>
    <mergeCell ref="I41:K41"/>
    <mergeCell ref="E38:F38"/>
    <mergeCell ref="G38:H38"/>
    <mergeCell ref="I38:K38"/>
    <mergeCell ref="E39:F39"/>
    <mergeCell ref="G39:H39"/>
    <mergeCell ref="I39:K39"/>
    <mergeCell ref="E35:F35"/>
    <mergeCell ref="G35:H35"/>
    <mergeCell ref="I35:K35"/>
    <mergeCell ref="E40:F40"/>
    <mergeCell ref="G40:H40"/>
    <mergeCell ref="I40:K40"/>
    <mergeCell ref="E36:F36"/>
    <mergeCell ref="G36:H36"/>
    <mergeCell ref="I36:K36"/>
    <mergeCell ref="E37:F37"/>
    <mergeCell ref="G37:H37"/>
    <mergeCell ref="I37:K37"/>
    <mergeCell ref="E33:F33"/>
    <mergeCell ref="G33:H33"/>
    <mergeCell ref="I33:K33"/>
    <mergeCell ref="E34:F34"/>
    <mergeCell ref="G34:H34"/>
    <mergeCell ref="I34:K34"/>
    <mergeCell ref="A24:K24"/>
    <mergeCell ref="E30:F30"/>
    <mergeCell ref="G30:H30"/>
    <mergeCell ref="I30:K30"/>
    <mergeCell ref="I31:K31"/>
    <mergeCell ref="I25:K25"/>
    <mergeCell ref="F25:H25"/>
    <mergeCell ref="F27:H27"/>
    <mergeCell ref="F28:H28"/>
    <mergeCell ref="A31:E31"/>
    <mergeCell ref="A25:E25"/>
    <mergeCell ref="E29:F29"/>
    <mergeCell ref="G29:H29"/>
    <mergeCell ref="I29:K29"/>
    <mergeCell ref="F18:G18"/>
    <mergeCell ref="H18:K18"/>
    <mergeCell ref="A19:C19"/>
    <mergeCell ref="D19:E19"/>
    <mergeCell ref="F19:G19"/>
    <mergeCell ref="H19:K19"/>
    <mergeCell ref="A9:K9"/>
    <mergeCell ref="A11:C11"/>
    <mergeCell ref="D11:F11"/>
    <mergeCell ref="G11:K11"/>
    <mergeCell ref="A12:C12"/>
    <mergeCell ref="D12:F12"/>
    <mergeCell ref="G12:I12"/>
    <mergeCell ref="J12:K12"/>
    <mergeCell ref="B32:F32"/>
    <mergeCell ref="F31:H31"/>
    <mergeCell ref="A15:C15"/>
    <mergeCell ref="E15:G15"/>
    <mergeCell ref="I15:K15"/>
    <mergeCell ref="A16:C16"/>
    <mergeCell ref="E16:G16"/>
    <mergeCell ref="I16:K16"/>
    <mergeCell ref="A21:C21"/>
    <mergeCell ref="D21:E21"/>
    <mergeCell ref="F21:G21"/>
    <mergeCell ref="H21:I21"/>
    <mergeCell ref="J21:K21"/>
    <mergeCell ref="A22:K23"/>
    <mergeCell ref="A18:C18"/>
    <mergeCell ref="D18:E18"/>
  </mergeCells>
  <dataValidations count="4">
    <dataValidation type="list" allowBlank="1" showInputMessage="1" showErrorMessage="1" sqref="A47:D47" xr:uid="{170BC18D-9CE3-4FC8-B38E-16B79A99E4C8}">
      <formula1>$A$56:$A$60</formula1>
    </dataValidation>
    <dataValidation type="list" allowBlank="1" showInputMessage="1" showErrorMessage="1" sqref="F31:H31" xr:uid="{551B8AA5-3133-48CC-AAAE-E4B5B22EFE47}">
      <formula1>$D$130:$D$132</formula1>
    </dataValidation>
    <dataValidation type="list" allowBlank="1" showInputMessage="1" showErrorMessage="1" sqref="F27:H27" xr:uid="{3DA7950F-3125-44BA-B417-373CA9D975E7}">
      <formula1>$A$130:$A$145</formula1>
    </dataValidation>
    <dataValidation type="list" allowBlank="1" showInputMessage="1" showErrorMessage="1" sqref="F28:H28" xr:uid="{7C15BC90-6FC2-4A23-917F-F7C533E66872}">
      <formula1>$B$130:$B$135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&amp;RDOH-CHD7-CL-Form-15 Rev. 0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E64E-E7AD-4780-951B-75155B449236}">
  <sheetPr codeName="Sheet8"/>
  <dimension ref="A1:K139"/>
  <sheetViews>
    <sheetView view="pageLayout" topLeftCell="A40" zoomScaleNormal="100" workbookViewId="0">
      <selection activeCell="A54" sqref="A54:D54"/>
    </sheetView>
  </sheetViews>
  <sheetFormatPr defaultColWidth="9.44140625" defaultRowHeight="14.4"/>
  <cols>
    <col min="1" max="11" width="9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7.9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6500000000000004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176" t="s">
        <v>499</v>
      </c>
      <c r="H11" s="177"/>
      <c r="I11" s="177"/>
      <c r="J11" s="177"/>
      <c r="K11" s="178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301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28</v>
      </c>
      <c r="G19" s="181"/>
      <c r="H19" s="179"/>
      <c r="I19" s="180"/>
      <c r="J19" s="180"/>
      <c r="K19" s="181"/>
    </row>
    <row r="20" spans="1:11" ht="14.4" customHeight="1">
      <c r="A20" s="19" t="s">
        <v>66</v>
      </c>
      <c r="B20" s="2"/>
      <c r="C20" s="2"/>
      <c r="D20" s="2"/>
      <c r="E20" s="3"/>
      <c r="F20" s="51" t="s">
        <v>67</v>
      </c>
      <c r="G20" s="2"/>
      <c r="H20" s="2"/>
      <c r="I20" s="2"/>
      <c r="J20" s="19" t="s">
        <v>21</v>
      </c>
      <c r="K20" s="3"/>
    </row>
    <row r="21" spans="1:11" ht="15" thickBot="1">
      <c r="A21" s="182">
        <f>G12</f>
        <v>0</v>
      </c>
      <c r="B21" s="183"/>
      <c r="C21" s="183"/>
      <c r="D21" s="184">
        <v>0.375</v>
      </c>
      <c r="E21" s="185"/>
      <c r="F21" s="182">
        <f>A21</f>
        <v>0</v>
      </c>
      <c r="G21" s="183"/>
      <c r="H21" s="184">
        <v>0.45833333333333331</v>
      </c>
      <c r="I21" s="185"/>
      <c r="J21" s="199"/>
      <c r="K21" s="200"/>
    </row>
    <row r="22" spans="1:11" ht="14.4" customHeight="1">
      <c r="A22" s="330" t="s">
        <v>103</v>
      </c>
      <c r="B22" s="331"/>
      <c r="C22" s="331"/>
      <c r="D22" s="331"/>
      <c r="E22" s="331"/>
      <c r="F22" s="331"/>
      <c r="G22" s="331"/>
      <c r="H22" s="331"/>
      <c r="I22" s="331"/>
      <c r="J22" s="331"/>
      <c r="K22" s="332"/>
    </row>
    <row r="23" spans="1:11" ht="15" customHeight="1" thickBot="1">
      <c r="A23" s="333"/>
      <c r="B23" s="334"/>
      <c r="C23" s="334"/>
      <c r="D23" s="334"/>
      <c r="E23" s="334"/>
      <c r="F23" s="334"/>
      <c r="G23" s="334"/>
      <c r="H23" s="334"/>
      <c r="I23" s="334"/>
      <c r="J23" s="334"/>
      <c r="K23" s="335"/>
    </row>
    <row r="24" spans="1:11" ht="18" thickBot="1">
      <c r="A24" s="201"/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ht="15" thickBot="1">
      <c r="A25" s="336" t="s">
        <v>18</v>
      </c>
      <c r="B25" s="337"/>
      <c r="C25" s="337"/>
      <c r="D25" s="337"/>
      <c r="E25" s="337"/>
      <c r="F25" s="338"/>
      <c r="G25" s="336" t="s">
        <v>9</v>
      </c>
      <c r="H25" s="337"/>
      <c r="I25" s="337"/>
      <c r="J25" s="337"/>
      <c r="K25" s="338"/>
    </row>
    <row r="26" spans="1:11" ht="5.55" customHeight="1">
      <c r="A26" s="42"/>
      <c r="B26" s="43"/>
      <c r="C26" s="43"/>
      <c r="D26" s="2"/>
      <c r="E26" s="2"/>
      <c r="F26" s="2"/>
      <c r="J26" s="9"/>
      <c r="K26" s="5"/>
    </row>
    <row r="27" spans="1:11" ht="15.6">
      <c r="A27" s="4"/>
      <c r="B27" s="54" t="s">
        <v>109</v>
      </c>
      <c r="C27" s="45"/>
      <c r="D27" s="45"/>
      <c r="E27" s="45"/>
      <c r="F27" s="45"/>
      <c r="G27" s="49"/>
      <c r="H27" s="49"/>
      <c r="I27" s="49"/>
      <c r="J27" s="49"/>
      <c r="K27" s="44"/>
    </row>
    <row r="28" spans="1:11" ht="18">
      <c r="A28" s="4"/>
      <c r="B28" s="45"/>
      <c r="C28" s="146" t="s">
        <v>346</v>
      </c>
      <c r="D28" s="45"/>
      <c r="E28" s="45"/>
      <c r="F28" s="45"/>
      <c r="G28" s="49"/>
      <c r="H28" s="339"/>
      <c r="I28" s="339"/>
      <c r="J28" s="339"/>
      <c r="K28" s="44"/>
    </row>
    <row r="29" spans="1:11" ht="5.55" customHeight="1">
      <c r="A29" s="39"/>
      <c r="B29" s="48"/>
      <c r="C29" s="48"/>
      <c r="J29" s="9"/>
      <c r="K29" s="5"/>
    </row>
    <row r="30" spans="1:11">
      <c r="A30" s="4"/>
      <c r="B30" s="47" t="s">
        <v>110</v>
      </c>
      <c r="C30" s="12"/>
      <c r="E30" s="50"/>
      <c r="F30" s="50"/>
      <c r="G30" s="49"/>
      <c r="H30" s="49"/>
      <c r="I30" s="49"/>
      <c r="J30" s="49"/>
      <c r="K30" s="44"/>
    </row>
    <row r="31" spans="1:11" ht="18">
      <c r="A31" s="4"/>
      <c r="B31" s="48"/>
      <c r="C31" s="20" t="s">
        <v>106</v>
      </c>
      <c r="E31" s="50"/>
      <c r="F31" s="50"/>
      <c r="G31" s="49"/>
      <c r="H31" s="339"/>
      <c r="I31" s="339"/>
      <c r="J31" s="339"/>
      <c r="K31" s="44"/>
    </row>
    <row r="32" spans="1:11" ht="5.55" customHeight="1">
      <c r="A32" s="39"/>
      <c r="B32" s="48"/>
      <c r="C32" s="48"/>
      <c r="J32" s="9"/>
      <c r="K32" s="5"/>
    </row>
    <row r="33" spans="1:11">
      <c r="A33" s="4"/>
      <c r="B33" s="47" t="s">
        <v>111</v>
      </c>
      <c r="C33" s="12"/>
      <c r="E33" s="50"/>
      <c r="F33" s="50"/>
      <c r="G33" s="49"/>
      <c r="H33" s="49"/>
      <c r="I33" s="49"/>
      <c r="J33" s="49"/>
      <c r="K33" s="44"/>
    </row>
    <row r="34" spans="1:11" ht="18">
      <c r="A34" s="4"/>
      <c r="B34" s="48"/>
      <c r="C34" s="20" t="s">
        <v>107</v>
      </c>
      <c r="E34" s="50"/>
      <c r="F34" s="50"/>
      <c r="G34" s="49"/>
      <c r="H34" s="339"/>
      <c r="I34" s="339"/>
      <c r="J34" s="339"/>
      <c r="K34" s="44"/>
    </row>
    <row r="35" spans="1:11" ht="5.55" customHeight="1">
      <c r="A35" s="39"/>
      <c r="B35" s="48"/>
      <c r="C35" s="48"/>
      <c r="J35" s="9"/>
      <c r="K35" s="5"/>
    </row>
    <row r="36" spans="1:11">
      <c r="A36" s="4"/>
      <c r="B36" s="47" t="s">
        <v>112</v>
      </c>
      <c r="C36" s="12"/>
      <c r="E36" s="50"/>
      <c r="F36" s="50"/>
      <c r="G36" s="49"/>
      <c r="H36" s="49"/>
      <c r="I36" s="49"/>
      <c r="J36" s="49"/>
      <c r="K36" s="44"/>
    </row>
    <row r="37" spans="1:11" ht="18">
      <c r="A37" s="4"/>
      <c r="B37" s="45"/>
      <c r="C37" s="20" t="s">
        <v>347</v>
      </c>
      <c r="E37" s="50"/>
      <c r="F37" s="50"/>
      <c r="G37" s="49"/>
      <c r="H37" s="339"/>
      <c r="I37" s="339"/>
      <c r="J37" s="339"/>
      <c r="K37" s="44"/>
    </row>
    <row r="38" spans="1:11" ht="5.55" customHeight="1">
      <c r="A38" s="39"/>
      <c r="B38" s="48"/>
      <c r="C38" s="48"/>
      <c r="J38" s="9"/>
      <c r="K38" s="5"/>
    </row>
    <row r="39" spans="1:11">
      <c r="A39" s="4"/>
      <c r="B39" s="47" t="s">
        <v>108</v>
      </c>
      <c r="C39" s="48"/>
      <c r="D39" s="48"/>
      <c r="E39" s="50"/>
      <c r="F39" s="50"/>
      <c r="G39" s="49"/>
      <c r="H39" s="49"/>
      <c r="I39" s="49"/>
      <c r="J39" s="49"/>
      <c r="K39" s="44"/>
    </row>
    <row r="40" spans="1:11" ht="18">
      <c r="A40" s="4"/>
      <c r="B40" s="45"/>
      <c r="C40" s="20" t="s">
        <v>343</v>
      </c>
      <c r="E40" s="50"/>
      <c r="F40" s="50"/>
      <c r="G40" s="49"/>
      <c r="H40" s="339"/>
      <c r="I40" s="339"/>
      <c r="J40" s="339"/>
      <c r="K40" s="44"/>
    </row>
    <row r="41" spans="1:11" ht="18">
      <c r="A41" s="4"/>
      <c r="B41" s="45"/>
      <c r="C41" s="20" t="s">
        <v>344</v>
      </c>
      <c r="E41" s="50"/>
      <c r="F41" s="50"/>
      <c r="G41" s="49"/>
      <c r="H41" s="339"/>
      <c r="I41" s="339"/>
      <c r="J41" s="339"/>
      <c r="K41" s="44"/>
    </row>
    <row r="42" spans="1:11" ht="18">
      <c r="A42" s="4"/>
      <c r="B42" s="45"/>
      <c r="C42" s="20" t="s">
        <v>345</v>
      </c>
      <c r="E42" s="50"/>
      <c r="F42" s="50"/>
      <c r="G42" s="140"/>
      <c r="H42" s="339"/>
      <c r="I42" s="339"/>
      <c r="J42" s="339"/>
      <c r="K42" s="141"/>
    </row>
    <row r="43" spans="1:11" ht="5.55" customHeight="1">
      <c r="A43" s="39"/>
      <c r="B43" s="48"/>
      <c r="C43" s="48"/>
      <c r="J43" s="9"/>
      <c r="K43" s="5"/>
    </row>
    <row r="44" spans="1:11">
      <c r="A44" s="4"/>
      <c r="B44" s="47" t="s">
        <v>341</v>
      </c>
      <c r="C44" s="12"/>
      <c r="E44" s="50"/>
      <c r="F44" s="50"/>
      <c r="G44" s="49"/>
      <c r="H44" s="49"/>
      <c r="I44" s="49"/>
      <c r="J44" s="49"/>
      <c r="K44" s="44"/>
    </row>
    <row r="45" spans="1:11" ht="18">
      <c r="A45" s="4"/>
      <c r="B45" s="48"/>
      <c r="C45" s="142" t="s">
        <v>342</v>
      </c>
      <c r="E45" s="50"/>
      <c r="F45" s="50"/>
      <c r="G45" s="49"/>
      <c r="H45" s="339"/>
      <c r="I45" s="339"/>
      <c r="J45" s="339"/>
      <c r="K45" s="44"/>
    </row>
    <row r="46" spans="1:11" ht="15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261" t="s">
        <v>13</v>
      </c>
      <c r="B47" s="261"/>
      <c r="C47" s="340" t="s">
        <v>634</v>
      </c>
      <c r="D47" s="340"/>
      <c r="E47" s="340"/>
      <c r="F47" s="340"/>
      <c r="G47" s="340"/>
      <c r="H47" s="340"/>
      <c r="I47" s="340"/>
      <c r="J47" s="340"/>
      <c r="K47" s="174"/>
    </row>
    <row r="48" spans="1:11">
      <c r="A48" s="14" t="s">
        <v>14</v>
      </c>
      <c r="E48" s="15" t="s">
        <v>16</v>
      </c>
      <c r="I48" s="15" t="s">
        <v>17</v>
      </c>
    </row>
    <row r="49" spans="1:11">
      <c r="A49" s="14"/>
      <c r="E49" s="15"/>
      <c r="I49" s="15"/>
    </row>
    <row r="50" spans="1:11">
      <c r="I50" s="31"/>
    </row>
    <row r="51" spans="1:11">
      <c r="A51" s="218" t="s">
        <v>25</v>
      </c>
      <c r="B51" s="218"/>
      <c r="C51" s="218"/>
      <c r="D51" s="218"/>
      <c r="E51" s="218" t="s">
        <v>171</v>
      </c>
      <c r="F51" s="218"/>
      <c r="G51" s="218"/>
      <c r="H51" s="218"/>
      <c r="I51" s="219" t="s">
        <v>120</v>
      </c>
      <c r="J51" s="219"/>
      <c r="K51" s="219"/>
    </row>
    <row r="52" spans="1:11">
      <c r="A52" s="230" t="s">
        <v>15</v>
      </c>
      <c r="B52" s="230"/>
      <c r="C52" s="230"/>
      <c r="D52" s="230"/>
      <c r="E52" s="231" t="s">
        <v>172</v>
      </c>
      <c r="F52" s="231"/>
      <c r="G52" s="231"/>
      <c r="H52" s="231"/>
      <c r="I52" s="231" t="s">
        <v>113</v>
      </c>
      <c r="J52" s="231"/>
      <c r="K52" s="231"/>
    </row>
    <row r="53" spans="1:11">
      <c r="A53" s="231" t="str">
        <f>IF(A51=A60,"Lic. No. 0091946",IF(A51=A61,"Lic. No. 0068902",IF(A51=A62,"Lic. No. 0081395",IF(A51=A63,"Lic. No. 0054465",IF(A51=A64,"Lic. No. 0060939")))))</f>
        <v>Lic. No. 0068902</v>
      </c>
      <c r="B53" s="231"/>
      <c r="C53" s="231"/>
      <c r="D53" s="231"/>
      <c r="E53" s="231" t="s">
        <v>173</v>
      </c>
      <c r="F53" s="231"/>
      <c r="G53" s="231"/>
      <c r="H53" s="231"/>
      <c r="I53" s="231" t="s">
        <v>121</v>
      </c>
      <c r="J53" s="231"/>
      <c r="K53" s="231"/>
    </row>
    <row r="54" spans="1:11">
      <c r="A54" s="231"/>
      <c r="B54" s="231"/>
      <c r="C54" s="231"/>
      <c r="D54" s="231"/>
      <c r="E54" s="231"/>
      <c r="F54" s="231"/>
      <c r="G54" s="231"/>
      <c r="H54" s="231"/>
      <c r="I54" s="231"/>
      <c r="J54" s="231"/>
      <c r="K54" s="231"/>
    </row>
    <row r="56" spans="1:11">
      <c r="A56" s="32"/>
      <c r="B56" s="32"/>
      <c r="C56" s="32"/>
      <c r="D56" s="32"/>
    </row>
    <row r="57" spans="1:11">
      <c r="C57" s="32"/>
      <c r="D57" s="32"/>
    </row>
    <row r="58" spans="1:11" ht="14.4" customHeight="1">
      <c r="C58" s="32"/>
      <c r="D58" s="32"/>
    </row>
    <row r="60" spans="1:11">
      <c r="A60" s="33" t="s">
        <v>616</v>
      </c>
      <c r="B60" s="33" t="s">
        <v>617</v>
      </c>
    </row>
    <row r="61" spans="1:11">
      <c r="A61" s="34" t="s">
        <v>25</v>
      </c>
      <c r="B61" s="35" t="s">
        <v>26</v>
      </c>
    </row>
    <row r="62" spans="1:11">
      <c r="A62" s="34" t="s">
        <v>22</v>
      </c>
      <c r="B62" s="35" t="s">
        <v>23</v>
      </c>
    </row>
    <row r="63" spans="1:11">
      <c r="A63" t="s">
        <v>614</v>
      </c>
      <c r="B63" t="s">
        <v>615</v>
      </c>
    </row>
    <row r="64" spans="1:11">
      <c r="A64" t="s">
        <v>160</v>
      </c>
      <c r="B64" t="s">
        <v>161</v>
      </c>
    </row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1:9" hidden="1"/>
    <row r="114" spans="1:9" hidden="1"/>
    <row r="115" spans="1:9" hidden="1"/>
    <row r="116" spans="1:9" hidden="1"/>
    <row r="117" spans="1:9" hidden="1"/>
    <row r="118" spans="1:9" hidden="1"/>
    <row r="119" spans="1:9" hidden="1"/>
    <row r="120" spans="1:9" hidden="1"/>
    <row r="121" spans="1:9" hidden="1"/>
    <row r="122" spans="1:9" hidden="1"/>
    <row r="123" spans="1:9" hidden="1"/>
    <row r="124" spans="1:9" hidden="1"/>
    <row r="125" spans="1:9" hidden="1"/>
    <row r="126" spans="1:9">
      <c r="C126" s="22"/>
      <c r="D126" s="29"/>
      <c r="E126" s="24"/>
      <c r="H126" s="30"/>
      <c r="I126" s="26"/>
    </row>
    <row r="127" spans="1:9">
      <c r="C127" s="22"/>
      <c r="D127" s="23"/>
      <c r="E127" s="24"/>
      <c r="H127" s="25"/>
      <c r="I127" s="26"/>
    </row>
    <row r="128" spans="1:9">
      <c r="A128" t="s">
        <v>348</v>
      </c>
      <c r="C128" s="22"/>
      <c r="D128" s="23"/>
      <c r="E128" s="24"/>
      <c r="H128" s="25"/>
      <c r="I128" s="26"/>
    </row>
    <row r="129" spans="1:9">
      <c r="A129" t="s">
        <v>349</v>
      </c>
      <c r="C129" s="22"/>
      <c r="D129" s="23"/>
      <c r="E129" s="24"/>
      <c r="H129" s="25"/>
      <c r="I129" s="26"/>
    </row>
    <row r="130" spans="1:9">
      <c r="C130" s="22"/>
      <c r="D130" s="23"/>
      <c r="E130" s="24"/>
      <c r="H130" s="25"/>
      <c r="I130" s="26"/>
    </row>
    <row r="131" spans="1:9">
      <c r="C131" s="22"/>
      <c r="D131" s="23"/>
      <c r="E131" s="24"/>
      <c r="H131" s="25"/>
      <c r="I131" s="26"/>
    </row>
    <row r="132" spans="1:9">
      <c r="A132" t="s">
        <v>166</v>
      </c>
      <c r="C132" s="22"/>
      <c r="D132" s="23"/>
      <c r="E132" s="24"/>
      <c r="H132" s="25"/>
      <c r="I132" s="26"/>
    </row>
    <row r="133" spans="1:9">
      <c r="A133" t="s">
        <v>91</v>
      </c>
    </row>
    <row r="136" spans="1:9">
      <c r="A136" s="167" t="s">
        <v>525</v>
      </c>
    </row>
    <row r="137" spans="1:9">
      <c r="A137" t="s">
        <v>632</v>
      </c>
    </row>
    <row r="138" spans="1:9">
      <c r="A138" t="s">
        <v>633</v>
      </c>
    </row>
    <row r="139" spans="1:9">
      <c r="A139" t="s">
        <v>634</v>
      </c>
    </row>
  </sheetData>
  <mergeCells count="54">
    <mergeCell ref="E52:H52"/>
    <mergeCell ref="I52:K52"/>
    <mergeCell ref="E53:H53"/>
    <mergeCell ref="I53:K53"/>
    <mergeCell ref="A47:B47"/>
    <mergeCell ref="H34:J34"/>
    <mergeCell ref="H37:J37"/>
    <mergeCell ref="H40:J40"/>
    <mergeCell ref="H41:J41"/>
    <mergeCell ref="H54:K54"/>
    <mergeCell ref="H42:J42"/>
    <mergeCell ref="H45:J45"/>
    <mergeCell ref="C47:J47"/>
    <mergeCell ref="E54:G54"/>
    <mergeCell ref="A46:K46"/>
    <mergeCell ref="A52:D52"/>
    <mergeCell ref="A53:D53"/>
    <mergeCell ref="A54:D54"/>
    <mergeCell ref="A51:D51"/>
    <mergeCell ref="E51:H51"/>
    <mergeCell ref="I51:K51"/>
    <mergeCell ref="A24:K24"/>
    <mergeCell ref="A25:F25"/>
    <mergeCell ref="G25:K25"/>
    <mergeCell ref="H28:J28"/>
    <mergeCell ref="H31:J31"/>
    <mergeCell ref="A9:K9"/>
    <mergeCell ref="A11:C11"/>
    <mergeCell ref="D11:F11"/>
    <mergeCell ref="G11:K11"/>
    <mergeCell ref="A12:C12"/>
    <mergeCell ref="D12:F12"/>
    <mergeCell ref="G12:I12"/>
    <mergeCell ref="J12:K12"/>
    <mergeCell ref="A15:C15"/>
    <mergeCell ref="E15:G15"/>
    <mergeCell ref="I15:K15"/>
    <mergeCell ref="A16:C16"/>
    <mergeCell ref="E16:G16"/>
    <mergeCell ref="I16:K16"/>
    <mergeCell ref="A22:K23"/>
    <mergeCell ref="A18:C18"/>
    <mergeCell ref="D18:E18"/>
    <mergeCell ref="F18:G18"/>
    <mergeCell ref="H18:K18"/>
    <mergeCell ref="A19:C19"/>
    <mergeCell ref="D19:E19"/>
    <mergeCell ref="F19:G19"/>
    <mergeCell ref="H19:K19"/>
    <mergeCell ref="A21:C21"/>
    <mergeCell ref="D21:E21"/>
    <mergeCell ref="F21:G21"/>
    <mergeCell ref="H21:I21"/>
    <mergeCell ref="J21:K21"/>
  </mergeCells>
  <dataValidations disablePrompts="1" count="4">
    <dataValidation type="list" allowBlank="1" showInputMessage="1" showErrorMessage="1" sqref="A51:D51" xr:uid="{EAEEA5D7-A550-47F0-9ECC-A014BF05A4D0}">
      <formula1>$A$60:$A$64</formula1>
    </dataValidation>
    <dataValidation type="list" allowBlank="1" showInputMessage="1" showErrorMessage="1" sqref="H37:J37 H34:J34 H31:J31 H40:J42 H28:J28" xr:uid="{485F2DCD-D05B-4402-BE07-2324CFD75248}">
      <formula1>$A$127:$A$129</formula1>
    </dataValidation>
    <dataValidation type="list" allowBlank="1" showInputMessage="1" showErrorMessage="1" sqref="H45:J45" xr:uid="{05A13E8D-592B-4637-9DF9-A3C16AD17F84}">
      <formula1>$A$131:$A$133</formula1>
    </dataValidation>
    <dataValidation type="list" allowBlank="1" showInputMessage="1" showErrorMessage="1" sqref="C47 K47" xr:uid="{00E4569E-B2CB-4B9F-A538-44E3114CDE40}">
      <formula1>$A$137:$A$140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&amp;RDOH-CHD7-CL-Form-16 Rev. 0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723E3-AB96-4EBB-952C-20958DB2EE0A}">
  <dimension ref="A1:K130"/>
  <sheetViews>
    <sheetView view="pageLayout" zoomScaleNormal="100" workbookViewId="0">
      <selection activeCell="A53" sqref="A53:D53"/>
    </sheetView>
  </sheetViews>
  <sheetFormatPr defaultColWidth="9.44140625" defaultRowHeight="14.4"/>
  <cols>
    <col min="1" max="11" width="9" customWidth="1"/>
  </cols>
  <sheetData>
    <row r="1" spans="1:11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>
      <c r="A2" s="4"/>
      <c r="K2" s="5"/>
    </row>
    <row r="3" spans="1:11">
      <c r="A3" s="4"/>
      <c r="K3" s="5"/>
    </row>
    <row r="4" spans="1:11">
      <c r="A4" s="4"/>
      <c r="K4" s="5"/>
    </row>
    <row r="5" spans="1:11">
      <c r="A5" s="4"/>
      <c r="K5" s="5"/>
    </row>
    <row r="6" spans="1:11">
      <c r="A6" s="4"/>
      <c r="K6" s="5"/>
    </row>
    <row r="7" spans="1:11" ht="13.95" customHeight="1" thickBot="1">
      <c r="A7" s="6"/>
      <c r="B7" s="7"/>
      <c r="C7" s="7"/>
      <c r="D7" s="7"/>
      <c r="E7" s="7"/>
      <c r="F7" s="7"/>
      <c r="G7" s="7"/>
      <c r="H7" s="7"/>
      <c r="I7" s="7"/>
      <c r="J7" s="7"/>
      <c r="K7" s="8"/>
    </row>
    <row r="8" spans="1:11" ht="7.95" customHeight="1"/>
    <row r="9" spans="1:11" ht="14.4" customHeight="1">
      <c r="A9" s="175" t="s">
        <v>0</v>
      </c>
      <c r="B9" s="175"/>
      <c r="C9" s="175"/>
      <c r="D9" s="175"/>
      <c r="E9" s="175"/>
      <c r="F9" s="175"/>
      <c r="G9" s="175"/>
      <c r="H9" s="175"/>
      <c r="I9" s="175"/>
      <c r="J9" s="175"/>
      <c r="K9" s="175"/>
    </row>
    <row r="10" spans="1:11" ht="4.6500000000000004" customHeight="1" thickBot="1"/>
    <row r="11" spans="1:11" ht="15" customHeight="1">
      <c r="A11" s="176" t="s">
        <v>1</v>
      </c>
      <c r="B11" s="177"/>
      <c r="C11" s="178"/>
      <c r="D11" s="176" t="s">
        <v>2</v>
      </c>
      <c r="E11" s="177"/>
      <c r="F11" s="178"/>
      <c r="G11" s="350" t="s">
        <v>503</v>
      </c>
      <c r="H11" s="351"/>
      <c r="I11" s="351"/>
      <c r="J11" s="351"/>
      <c r="K11" s="352"/>
    </row>
    <row r="12" spans="1:11" ht="15" thickBot="1">
      <c r="A12" s="179"/>
      <c r="B12" s="180"/>
      <c r="C12" s="181"/>
      <c r="D12" s="179"/>
      <c r="E12" s="180"/>
      <c r="F12" s="181"/>
      <c r="G12" s="182"/>
      <c r="H12" s="183"/>
      <c r="I12" s="183"/>
      <c r="J12" s="184">
        <v>0.33333333333333331</v>
      </c>
      <c r="K12" s="185"/>
    </row>
    <row r="13" spans="1:11">
      <c r="A13" s="1"/>
      <c r="B13" s="2"/>
      <c r="C13" s="2"/>
      <c r="D13" s="2"/>
      <c r="E13" s="2"/>
      <c r="F13" s="2"/>
      <c r="G13" s="2"/>
      <c r="H13" s="2"/>
      <c r="I13" s="2"/>
      <c r="J13" s="2"/>
      <c r="K13" s="3"/>
    </row>
    <row r="14" spans="1:11">
      <c r="A14" s="4"/>
      <c r="K14" s="5"/>
    </row>
    <row r="15" spans="1:11" ht="15.6">
      <c r="A15" s="186"/>
      <c r="B15" s="187"/>
      <c r="C15" s="187"/>
      <c r="E15" s="187"/>
      <c r="F15" s="187"/>
      <c r="G15" s="187"/>
      <c r="I15" s="187"/>
      <c r="J15" s="187"/>
      <c r="K15" s="188"/>
    </row>
    <row r="16" spans="1:11">
      <c r="A16" s="189" t="s">
        <v>6</v>
      </c>
      <c r="B16" s="190"/>
      <c r="C16" s="190"/>
      <c r="D16" s="10"/>
      <c r="E16" s="190" t="s">
        <v>7</v>
      </c>
      <c r="F16" s="190"/>
      <c r="G16" s="190"/>
      <c r="H16" s="10"/>
      <c r="I16" s="190" t="s">
        <v>8</v>
      </c>
      <c r="J16" s="190"/>
      <c r="K16" s="191"/>
    </row>
    <row r="17" spans="1:11" ht="6" customHeight="1" thickBot="1">
      <c r="A17" s="6"/>
      <c r="B17" s="7"/>
      <c r="C17" s="7"/>
      <c r="D17" s="7"/>
      <c r="E17" s="7"/>
      <c r="F17" s="7"/>
      <c r="G17" s="7"/>
      <c r="H17" s="7"/>
      <c r="I17" s="7"/>
      <c r="J17" s="7"/>
      <c r="K17" s="8"/>
    </row>
    <row r="18" spans="1:11">
      <c r="A18" s="301" t="s">
        <v>498</v>
      </c>
      <c r="B18" s="177"/>
      <c r="C18" s="178"/>
      <c r="D18" s="176" t="s">
        <v>3</v>
      </c>
      <c r="E18" s="178"/>
      <c r="F18" s="176" t="s">
        <v>4</v>
      </c>
      <c r="G18" s="178"/>
      <c r="H18" s="176" t="s">
        <v>5</v>
      </c>
      <c r="I18" s="177"/>
      <c r="J18" s="177"/>
      <c r="K18" s="178"/>
    </row>
    <row r="19" spans="1:11" ht="15" thickBot="1">
      <c r="A19" s="182"/>
      <c r="B19" s="183"/>
      <c r="C19" s="198"/>
      <c r="D19" s="179">
        <f ca="1">INT((TODAY()-A19)/365.25)</f>
        <v>126</v>
      </c>
      <c r="E19" s="181"/>
      <c r="F19" s="179" t="s">
        <v>28</v>
      </c>
      <c r="G19" s="181"/>
      <c r="H19" s="179"/>
      <c r="I19" s="180"/>
      <c r="J19" s="180"/>
      <c r="K19" s="181"/>
    </row>
    <row r="20" spans="1:11" ht="14.4" customHeight="1">
      <c r="A20" s="19" t="s">
        <v>66</v>
      </c>
      <c r="B20" s="2"/>
      <c r="C20" s="2"/>
      <c r="D20" s="2"/>
      <c r="E20" s="3"/>
      <c r="F20" s="20" t="s">
        <v>67</v>
      </c>
      <c r="J20" s="19" t="s">
        <v>21</v>
      </c>
      <c r="K20" s="3"/>
    </row>
    <row r="21" spans="1:11" ht="15" thickBot="1">
      <c r="A21" s="182">
        <f>G12</f>
        <v>0</v>
      </c>
      <c r="B21" s="183"/>
      <c r="C21" s="183"/>
      <c r="D21" s="184">
        <v>0.375</v>
      </c>
      <c r="E21" s="185"/>
      <c r="F21" s="182">
        <f>A21</f>
        <v>0</v>
      </c>
      <c r="G21" s="183"/>
      <c r="H21" s="184">
        <v>0.45833333333333331</v>
      </c>
      <c r="I21" s="185"/>
      <c r="J21" s="199"/>
      <c r="K21" s="200"/>
    </row>
    <row r="22" spans="1:11" ht="14.4" customHeight="1">
      <c r="A22" s="344" t="s">
        <v>164</v>
      </c>
      <c r="B22" s="345"/>
      <c r="C22" s="345"/>
      <c r="D22" s="345"/>
      <c r="E22" s="345"/>
      <c r="F22" s="345"/>
      <c r="G22" s="345"/>
      <c r="H22" s="345"/>
      <c r="I22" s="345"/>
      <c r="J22" s="345"/>
      <c r="K22" s="346"/>
    </row>
    <row r="23" spans="1:11" ht="15" customHeight="1" thickBot="1">
      <c r="A23" s="347"/>
      <c r="B23" s="348"/>
      <c r="C23" s="348"/>
      <c r="D23" s="348"/>
      <c r="E23" s="348"/>
      <c r="F23" s="348"/>
      <c r="G23" s="348"/>
      <c r="H23" s="348"/>
      <c r="I23" s="348"/>
      <c r="J23" s="348"/>
      <c r="K23" s="349"/>
    </row>
    <row r="24" spans="1:11" ht="18" thickBot="1">
      <c r="A24" s="201" t="s">
        <v>165</v>
      </c>
      <c r="B24" s="202"/>
      <c r="C24" s="202"/>
      <c r="D24" s="202"/>
      <c r="E24" s="202"/>
      <c r="F24" s="202"/>
      <c r="G24" s="202"/>
      <c r="H24" s="202"/>
      <c r="I24" s="202"/>
      <c r="J24" s="202"/>
      <c r="K24" s="203"/>
    </row>
    <row r="25" spans="1:11" ht="15" thickBot="1">
      <c r="A25" s="341" t="s">
        <v>18</v>
      </c>
      <c r="B25" s="342"/>
      <c r="C25" s="342"/>
      <c r="D25" s="342"/>
      <c r="E25" s="342"/>
      <c r="F25" s="343"/>
      <c r="G25" s="341" t="s">
        <v>9</v>
      </c>
      <c r="H25" s="342"/>
      <c r="I25" s="342"/>
      <c r="J25" s="342"/>
      <c r="K25" s="343"/>
    </row>
    <row r="26" spans="1:11">
      <c r="A26" s="308"/>
      <c r="B26" s="229"/>
      <c r="C26" s="229"/>
      <c r="D26" s="2"/>
      <c r="E26" s="2"/>
      <c r="F26" s="2"/>
      <c r="J26" s="9"/>
      <c r="K26" s="5"/>
    </row>
    <row r="27" spans="1:11">
      <c r="A27" s="38"/>
      <c r="B27" s="45"/>
      <c r="C27" s="45"/>
      <c r="D27" s="21"/>
      <c r="E27" s="296"/>
      <c r="F27" s="296"/>
      <c r="G27" s="293"/>
      <c r="H27" s="293"/>
      <c r="I27" s="293"/>
      <c r="J27" s="293"/>
      <c r="K27" s="294"/>
    </row>
    <row r="28" spans="1:11">
      <c r="A28" s="38"/>
      <c r="B28" s="45"/>
      <c r="C28" s="45"/>
      <c r="D28" s="21"/>
      <c r="E28" s="296"/>
      <c r="F28" s="296"/>
      <c r="G28" s="293"/>
      <c r="H28" s="293"/>
      <c r="I28" s="293"/>
      <c r="J28" s="293"/>
      <c r="K28" s="294"/>
    </row>
    <row r="29" spans="1:11">
      <c r="A29" s="38"/>
      <c r="B29" s="45"/>
      <c r="C29" s="45"/>
      <c r="D29" s="21"/>
      <c r="E29" s="296"/>
      <c r="F29" s="296"/>
      <c r="G29" s="293"/>
      <c r="H29" s="293"/>
      <c r="I29" s="293"/>
      <c r="J29" s="293"/>
      <c r="K29" s="294"/>
    </row>
    <row r="30" spans="1:11">
      <c r="A30" s="38"/>
      <c r="B30" s="45"/>
      <c r="C30" s="45"/>
      <c r="D30" s="21"/>
      <c r="E30" s="296"/>
      <c r="F30" s="296"/>
      <c r="G30" s="293"/>
      <c r="H30" s="293"/>
      <c r="I30" s="293"/>
      <c r="J30" s="293"/>
      <c r="K30" s="294"/>
    </row>
    <row r="31" spans="1:11">
      <c r="A31" s="38"/>
      <c r="B31" s="45"/>
      <c r="C31" s="45"/>
      <c r="D31" s="21"/>
      <c r="E31" s="296"/>
      <c r="F31" s="296"/>
      <c r="G31" s="293"/>
      <c r="H31" s="293"/>
      <c r="I31" s="293"/>
      <c r="J31" s="293"/>
      <c r="K31" s="294"/>
    </row>
    <row r="32" spans="1:11">
      <c r="A32" s="38"/>
      <c r="B32" s="45"/>
      <c r="C32" s="45"/>
      <c r="D32" s="21"/>
      <c r="E32" s="296"/>
      <c r="F32" s="296"/>
      <c r="G32" s="293"/>
      <c r="H32" s="293"/>
      <c r="I32" s="293"/>
      <c r="J32" s="293"/>
      <c r="K32" s="294"/>
    </row>
    <row r="33" spans="1:11" ht="13.35" customHeight="1">
      <c r="A33" s="38"/>
      <c r="B33" s="45"/>
      <c r="C33" s="45"/>
      <c r="D33" s="21"/>
      <c r="E33" s="296"/>
      <c r="F33" s="296"/>
      <c r="G33" s="293"/>
      <c r="H33" s="293"/>
      <c r="I33" s="293"/>
      <c r="J33" s="293"/>
      <c r="K33" s="294"/>
    </row>
    <row r="34" spans="1:11">
      <c r="A34" s="38"/>
      <c r="B34" s="45"/>
      <c r="C34" s="45"/>
      <c r="D34" s="21"/>
      <c r="E34" s="296"/>
      <c r="F34" s="296"/>
      <c r="G34" s="293"/>
      <c r="H34" s="293"/>
      <c r="I34" s="293"/>
      <c r="J34" s="293"/>
      <c r="K34" s="294"/>
    </row>
    <row r="35" spans="1:11">
      <c r="A35" s="38"/>
      <c r="B35" s="45"/>
      <c r="C35" s="45"/>
      <c r="D35" s="21"/>
      <c r="E35" s="296"/>
      <c r="F35" s="296"/>
      <c r="G35" s="293"/>
      <c r="H35" s="293"/>
      <c r="I35" s="293"/>
      <c r="J35" s="293"/>
      <c r="K35" s="294"/>
    </row>
    <row r="36" spans="1:11">
      <c r="A36" s="38"/>
      <c r="B36" s="45"/>
      <c r="C36" s="45"/>
      <c r="D36" s="21"/>
      <c r="E36" s="296"/>
      <c r="F36" s="296"/>
      <c r="G36" s="293"/>
      <c r="H36" s="293"/>
      <c r="I36" s="293"/>
      <c r="J36" s="293"/>
      <c r="K36" s="294"/>
    </row>
    <row r="37" spans="1:11">
      <c r="A37" s="38"/>
      <c r="B37" s="45"/>
      <c r="C37" s="45"/>
      <c r="D37" s="21"/>
      <c r="E37" s="296"/>
      <c r="F37" s="296"/>
      <c r="G37" s="293"/>
      <c r="H37" s="293"/>
      <c r="I37" s="293"/>
      <c r="J37" s="293"/>
      <c r="K37" s="294"/>
    </row>
    <row r="38" spans="1:11">
      <c r="A38" s="38"/>
      <c r="B38" s="45"/>
      <c r="C38" s="45"/>
      <c r="D38" s="21"/>
      <c r="E38" s="296"/>
      <c r="F38" s="296"/>
      <c r="G38" s="293"/>
      <c r="H38" s="293"/>
      <c r="I38" s="293"/>
      <c r="J38" s="293"/>
      <c r="K38" s="294"/>
    </row>
    <row r="39" spans="1:11">
      <c r="A39" s="38"/>
      <c r="B39" s="45"/>
      <c r="C39" s="45"/>
      <c r="E39" s="296"/>
      <c r="F39" s="296"/>
      <c r="G39" s="293"/>
      <c r="H39" s="293"/>
      <c r="I39" s="293"/>
      <c r="J39" s="293"/>
      <c r="K39" s="294"/>
    </row>
    <row r="40" spans="1:11">
      <c r="A40" s="38"/>
      <c r="B40" s="45"/>
      <c r="C40" s="45"/>
      <c r="D40" s="21"/>
      <c r="E40" s="296"/>
      <c r="F40" s="296"/>
      <c r="G40" s="293"/>
      <c r="H40" s="293"/>
      <c r="I40" s="293"/>
      <c r="J40" s="293"/>
      <c r="K40" s="294"/>
    </row>
    <row r="41" spans="1:11">
      <c r="A41" s="38"/>
      <c r="B41" s="45"/>
      <c r="C41" s="45"/>
      <c r="D41" s="21"/>
      <c r="E41" s="296"/>
      <c r="F41" s="296"/>
      <c r="G41" s="293"/>
      <c r="H41" s="293"/>
      <c r="I41" s="293"/>
      <c r="J41" s="293"/>
      <c r="K41" s="294"/>
    </row>
    <row r="42" spans="1:11">
      <c r="A42" s="38"/>
      <c r="B42" s="45"/>
      <c r="C42" s="45"/>
      <c r="D42" s="21"/>
      <c r="E42" s="296"/>
      <c r="F42" s="296"/>
      <c r="G42" s="293"/>
      <c r="H42" s="293"/>
      <c r="I42" s="293"/>
      <c r="J42" s="293"/>
      <c r="K42" s="294"/>
    </row>
    <row r="43" spans="1:11">
      <c r="A43" s="38"/>
      <c r="B43" s="45"/>
      <c r="C43" s="45"/>
      <c r="D43" s="21"/>
      <c r="E43" s="296"/>
      <c r="F43" s="296"/>
      <c r="G43" s="293"/>
      <c r="H43" s="293"/>
      <c r="I43" s="293"/>
      <c r="J43" s="293"/>
      <c r="K43" s="294"/>
    </row>
    <row r="44" spans="1:11">
      <c r="A44" s="38"/>
      <c r="B44" s="45"/>
      <c r="C44" s="45"/>
      <c r="D44" s="21"/>
      <c r="E44" s="296"/>
      <c r="F44" s="296"/>
      <c r="G44" s="293"/>
      <c r="H44" s="293"/>
      <c r="I44" s="293"/>
      <c r="J44" s="293"/>
      <c r="K44" s="294"/>
    </row>
    <row r="45" spans="1:11">
      <c r="A45" s="38"/>
      <c r="B45" s="45"/>
      <c r="C45" s="45"/>
      <c r="D45" s="21"/>
      <c r="E45" s="296"/>
      <c r="F45" s="296"/>
      <c r="G45" s="293"/>
      <c r="H45" s="293"/>
      <c r="I45" s="293"/>
      <c r="J45" s="293"/>
      <c r="K45" s="294"/>
    </row>
    <row r="46" spans="1:11" ht="15" thickBot="1">
      <c r="A46" s="232" t="s">
        <v>12</v>
      </c>
      <c r="B46" s="233"/>
      <c r="C46" s="233"/>
      <c r="D46" s="233"/>
      <c r="E46" s="233"/>
      <c r="F46" s="233"/>
      <c r="G46" s="233"/>
      <c r="H46" s="233"/>
      <c r="I46" s="233"/>
      <c r="J46" s="233"/>
      <c r="K46" s="234"/>
    </row>
    <row r="47" spans="1:11">
      <c r="A47" s="261" t="s">
        <v>13</v>
      </c>
      <c r="B47" s="261"/>
      <c r="C47" s="202"/>
      <c r="D47" s="202"/>
      <c r="E47" s="202"/>
      <c r="F47" s="202"/>
      <c r="G47" s="202"/>
      <c r="H47" s="202"/>
      <c r="I47" s="202"/>
      <c r="J47" s="202"/>
      <c r="K47" s="202"/>
    </row>
    <row r="48" spans="1:11">
      <c r="A48" s="14" t="s">
        <v>14</v>
      </c>
      <c r="E48" s="15" t="s">
        <v>16</v>
      </c>
      <c r="I48" s="15" t="s">
        <v>17</v>
      </c>
    </row>
    <row r="49" spans="1:11">
      <c r="I49" s="31"/>
    </row>
    <row r="50" spans="1:11">
      <c r="A50" s="218" t="s">
        <v>25</v>
      </c>
      <c r="B50" s="218"/>
      <c r="C50" s="218"/>
      <c r="D50" s="218"/>
      <c r="E50" s="218" t="s">
        <v>171</v>
      </c>
      <c r="F50" s="218"/>
      <c r="G50" s="218"/>
      <c r="H50" s="218"/>
      <c r="I50" s="219" t="s">
        <v>120</v>
      </c>
      <c r="J50" s="219"/>
      <c r="K50" s="219"/>
    </row>
    <row r="51" spans="1:11">
      <c r="A51" s="230" t="s">
        <v>15</v>
      </c>
      <c r="B51" s="230"/>
      <c r="C51" s="230"/>
      <c r="D51" s="230"/>
      <c r="E51" s="231" t="s">
        <v>172</v>
      </c>
      <c r="F51" s="231"/>
      <c r="G51" s="231"/>
      <c r="H51" s="231"/>
      <c r="I51" s="231" t="s">
        <v>113</v>
      </c>
      <c r="J51" s="231"/>
      <c r="K51" s="231"/>
    </row>
    <row r="52" spans="1:11">
      <c r="A52" s="231" t="str">
        <f>IF(A50=A59,"Lic. No. 0091946",IF(A50=A60,"Lic. No. 0068902",IF(A50=A61,"Lic. No. 0081395",IF(A50=A62,"Lic. No. 0054465",IF(A50=A63,"Lic. No. 0060939")))))</f>
        <v>Lic. No. 0068902</v>
      </c>
      <c r="B52" s="231"/>
      <c r="C52" s="231"/>
      <c r="D52" s="231"/>
      <c r="E52" s="231" t="s">
        <v>173</v>
      </c>
      <c r="F52" s="231"/>
      <c r="G52" s="231"/>
      <c r="H52" s="231"/>
      <c r="I52" s="231" t="s">
        <v>121</v>
      </c>
      <c r="J52" s="231"/>
      <c r="K52" s="231"/>
    </row>
    <row r="53" spans="1:11">
      <c r="A53" s="231"/>
      <c r="B53" s="231"/>
      <c r="C53" s="231"/>
      <c r="D53" s="231"/>
      <c r="E53" s="231"/>
      <c r="F53" s="231"/>
      <c r="G53" s="231"/>
      <c r="H53" s="231"/>
      <c r="I53" s="231"/>
      <c r="J53" s="231"/>
      <c r="K53" s="231"/>
    </row>
    <row r="55" spans="1:11">
      <c r="A55" s="32"/>
      <c r="B55" s="32"/>
      <c r="C55" s="32"/>
      <c r="D55" s="32"/>
    </row>
    <row r="56" spans="1:11">
      <c r="C56" s="32"/>
      <c r="D56" s="32"/>
    </row>
    <row r="57" spans="1:11" ht="14.4" customHeight="1">
      <c r="C57" s="32"/>
      <c r="D57" s="32"/>
    </row>
    <row r="59" spans="1:11">
      <c r="A59" s="33" t="s">
        <v>616</v>
      </c>
      <c r="B59" s="33" t="s">
        <v>617</v>
      </c>
    </row>
    <row r="60" spans="1:11">
      <c r="A60" s="34" t="s">
        <v>25</v>
      </c>
      <c r="B60" s="35" t="s">
        <v>26</v>
      </c>
    </row>
    <row r="61" spans="1:11">
      <c r="A61" s="34" t="s">
        <v>22</v>
      </c>
      <c r="B61" s="35" t="s">
        <v>23</v>
      </c>
    </row>
    <row r="62" spans="1:11">
      <c r="A62" t="s">
        <v>614</v>
      </c>
      <c r="B62" t="s">
        <v>615</v>
      </c>
    </row>
    <row r="63" spans="1:11">
      <c r="A63" t="s">
        <v>160</v>
      </c>
      <c r="B63" t="s">
        <v>161</v>
      </c>
    </row>
    <row r="64" spans="1:11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spans="3:9" hidden="1"/>
    <row r="114" spans="3:9" hidden="1"/>
    <row r="115" spans="3:9" hidden="1"/>
    <row r="116" spans="3:9" hidden="1"/>
    <row r="117" spans="3:9" hidden="1"/>
    <row r="118" spans="3:9" hidden="1"/>
    <row r="119" spans="3:9" hidden="1"/>
    <row r="120" spans="3:9" hidden="1"/>
    <row r="121" spans="3:9" hidden="1"/>
    <row r="122" spans="3:9" hidden="1"/>
    <row r="123" spans="3:9" hidden="1"/>
    <row r="124" spans="3:9" hidden="1"/>
    <row r="125" spans="3:9">
      <c r="C125" s="22"/>
      <c r="D125" s="29"/>
      <c r="E125" s="24"/>
      <c r="H125" s="30"/>
      <c r="I125" s="26"/>
    </row>
    <row r="126" spans="3:9">
      <c r="C126" s="22"/>
      <c r="D126" s="23"/>
      <c r="E126" s="24"/>
      <c r="H126" s="25"/>
      <c r="I126" s="26"/>
    </row>
    <row r="127" spans="3:9">
      <c r="C127" s="22"/>
      <c r="D127" s="23"/>
      <c r="E127" s="24"/>
      <c r="H127" s="25"/>
      <c r="I127" s="26"/>
    </row>
    <row r="128" spans="3:9">
      <c r="C128" s="22"/>
      <c r="D128" s="23"/>
      <c r="E128" s="24"/>
      <c r="H128" s="25"/>
      <c r="I128" s="26"/>
    </row>
    <row r="129" spans="3:9">
      <c r="C129" s="22"/>
      <c r="D129" s="23"/>
      <c r="E129" s="24"/>
      <c r="H129" s="25"/>
      <c r="I129" s="26"/>
    </row>
    <row r="130" spans="3:9">
      <c r="C130" s="22"/>
      <c r="D130" s="23"/>
      <c r="E130" s="24"/>
      <c r="H130" s="25"/>
      <c r="I130" s="26"/>
    </row>
  </sheetData>
  <mergeCells count="104">
    <mergeCell ref="A9:K9"/>
    <mergeCell ref="A11:C11"/>
    <mergeCell ref="D11:F11"/>
    <mergeCell ref="G11:K11"/>
    <mergeCell ref="A12:C12"/>
    <mergeCell ref="D12:F12"/>
    <mergeCell ref="G12:I12"/>
    <mergeCell ref="J12:K12"/>
    <mergeCell ref="A18:C18"/>
    <mergeCell ref="D18:E18"/>
    <mergeCell ref="F18:G18"/>
    <mergeCell ref="H18:K18"/>
    <mergeCell ref="A19:C19"/>
    <mergeCell ref="D19:E19"/>
    <mergeCell ref="F19:G19"/>
    <mergeCell ref="H19:K19"/>
    <mergeCell ref="A15:C15"/>
    <mergeCell ref="E15:G15"/>
    <mergeCell ref="I15:K15"/>
    <mergeCell ref="A16:C16"/>
    <mergeCell ref="E16:G16"/>
    <mergeCell ref="I16:K16"/>
    <mergeCell ref="A24:K24"/>
    <mergeCell ref="A25:F25"/>
    <mergeCell ref="G25:K25"/>
    <mergeCell ref="A26:C26"/>
    <mergeCell ref="E27:F27"/>
    <mergeCell ref="G27:H27"/>
    <mergeCell ref="I27:K27"/>
    <mergeCell ref="A21:C21"/>
    <mergeCell ref="D21:E21"/>
    <mergeCell ref="F21:G21"/>
    <mergeCell ref="H21:I21"/>
    <mergeCell ref="J21:K21"/>
    <mergeCell ref="A22:K23"/>
    <mergeCell ref="E30:F30"/>
    <mergeCell ref="G30:H30"/>
    <mergeCell ref="I30:K30"/>
    <mergeCell ref="E31:F31"/>
    <mergeCell ref="G31:H31"/>
    <mergeCell ref="I31:K31"/>
    <mergeCell ref="E28:F28"/>
    <mergeCell ref="G28:H28"/>
    <mergeCell ref="I28:K28"/>
    <mergeCell ref="E29:F29"/>
    <mergeCell ref="G29:H29"/>
    <mergeCell ref="I29:K29"/>
    <mergeCell ref="E34:F34"/>
    <mergeCell ref="G34:H34"/>
    <mergeCell ref="I34:K34"/>
    <mergeCell ref="E35:F35"/>
    <mergeCell ref="G35:H35"/>
    <mergeCell ref="I35:K35"/>
    <mergeCell ref="E32:F32"/>
    <mergeCell ref="G32:H32"/>
    <mergeCell ref="I32:K32"/>
    <mergeCell ref="E33:F33"/>
    <mergeCell ref="G33:H33"/>
    <mergeCell ref="I33:K33"/>
    <mergeCell ref="E38:F38"/>
    <mergeCell ref="G38:H38"/>
    <mergeCell ref="I38:K38"/>
    <mergeCell ref="E39:F39"/>
    <mergeCell ref="G39:H39"/>
    <mergeCell ref="I39:K39"/>
    <mergeCell ref="E36:F36"/>
    <mergeCell ref="G36:H36"/>
    <mergeCell ref="I36:K36"/>
    <mergeCell ref="E37:F37"/>
    <mergeCell ref="G37:H37"/>
    <mergeCell ref="I37:K37"/>
    <mergeCell ref="E42:F42"/>
    <mergeCell ref="G42:H42"/>
    <mergeCell ref="I42:K42"/>
    <mergeCell ref="E43:F43"/>
    <mergeCell ref="G43:H43"/>
    <mergeCell ref="I43:K43"/>
    <mergeCell ref="E40:F40"/>
    <mergeCell ref="G40:H40"/>
    <mergeCell ref="I40:K40"/>
    <mergeCell ref="E41:F41"/>
    <mergeCell ref="G41:H41"/>
    <mergeCell ref="I41:K41"/>
    <mergeCell ref="A46:K46"/>
    <mergeCell ref="A47:B47"/>
    <mergeCell ref="C47:K47"/>
    <mergeCell ref="A50:D50"/>
    <mergeCell ref="E50:H50"/>
    <mergeCell ref="I50:K50"/>
    <mergeCell ref="E44:F44"/>
    <mergeCell ref="G44:H44"/>
    <mergeCell ref="I44:K44"/>
    <mergeCell ref="E45:F45"/>
    <mergeCell ref="G45:H45"/>
    <mergeCell ref="I45:K45"/>
    <mergeCell ref="A53:D53"/>
    <mergeCell ref="E53:G53"/>
    <mergeCell ref="H53:K53"/>
    <mergeCell ref="A51:D51"/>
    <mergeCell ref="E51:H51"/>
    <mergeCell ref="I51:K51"/>
    <mergeCell ref="A52:D52"/>
    <mergeCell ref="E52:H52"/>
    <mergeCell ref="I52:K52"/>
  </mergeCells>
  <dataValidations disablePrompts="1" count="1">
    <dataValidation type="list" allowBlank="1" showInputMessage="1" showErrorMessage="1" sqref="A50:D50" xr:uid="{78AFE779-AE75-4F0D-85DC-3C36DF572DEF}">
      <formula1>$A$59:$A$63</formula1>
    </dataValidation>
  </dataValidations>
  <pageMargins left="0.25" right="0.25" top="0.75" bottom="0.75" header="0.3" footer="0.3"/>
  <pageSetup paperSize="9" orientation="portrait" horizontalDpi="360" verticalDpi="360" r:id="rId1"/>
  <headerFooter>
    <oddFooter>&amp;RDOH-CHD7-CL-Form-17 Rev. 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22</vt:i4>
      </vt:variant>
    </vt:vector>
  </HeadingPairs>
  <TitlesOfParts>
    <vt:vector size="44" baseType="lpstr">
      <vt:lpstr>CHEM M (Conv.)</vt:lpstr>
      <vt:lpstr>CHEM M (SI)</vt:lpstr>
      <vt:lpstr>CHEM F (Conv.)</vt:lpstr>
      <vt:lpstr>CHEM F (SI)</vt:lpstr>
      <vt:lpstr>OGTT</vt:lpstr>
      <vt:lpstr>CBC M (&gt;=18y)</vt:lpstr>
      <vt:lpstr>CBC F (&gt;=18y)</vt:lpstr>
      <vt:lpstr>CBC MF (12y-17y)</vt:lpstr>
      <vt:lpstr>CBC MF (6y-11y)</vt:lpstr>
      <vt:lpstr>CBC MF (2y-5y)</vt:lpstr>
      <vt:lpstr>CBC MF (6m-1y)</vt:lpstr>
      <vt:lpstr>CBC MF (2m-6m)</vt:lpstr>
      <vt:lpstr>CBC MF (1m-2m)</vt:lpstr>
      <vt:lpstr>CBC MF (1w-1m)</vt:lpstr>
      <vt:lpstr>CBC MF (&lt;=1w)</vt:lpstr>
      <vt:lpstr>BT M&amp;F </vt:lpstr>
      <vt:lpstr>UA MF</vt:lpstr>
      <vt:lpstr>SE MF</vt:lpstr>
      <vt:lpstr>PT </vt:lpstr>
      <vt:lpstr>OBT MF</vt:lpstr>
      <vt:lpstr>IMMUNO MF</vt:lpstr>
      <vt:lpstr>MICRO MF</vt:lpstr>
      <vt:lpstr>'BT M&amp;F '!Print_Area</vt:lpstr>
      <vt:lpstr>'CBC F (&gt;=18y)'!Print_Area</vt:lpstr>
      <vt:lpstr>'CBC M (&gt;=18y)'!Print_Area</vt:lpstr>
      <vt:lpstr>'CBC MF (&lt;=1w)'!Print_Area</vt:lpstr>
      <vt:lpstr>'CBC MF (12y-17y)'!Print_Area</vt:lpstr>
      <vt:lpstr>'CBC MF (1m-2m)'!Print_Area</vt:lpstr>
      <vt:lpstr>'CBC MF (1w-1m)'!Print_Area</vt:lpstr>
      <vt:lpstr>'CBC MF (2m-6m)'!Print_Area</vt:lpstr>
      <vt:lpstr>'CBC MF (2y-5y)'!Print_Area</vt:lpstr>
      <vt:lpstr>'CBC MF (6m-1y)'!Print_Area</vt:lpstr>
      <vt:lpstr>'CBC MF (6y-11y)'!Print_Area</vt:lpstr>
      <vt:lpstr>'CHEM F (Conv.)'!Print_Area</vt:lpstr>
      <vt:lpstr>'CHEM F (SI)'!Print_Area</vt:lpstr>
      <vt:lpstr>'CHEM M (Conv.)'!Print_Area</vt:lpstr>
      <vt:lpstr>'CHEM M (SI)'!Print_Area</vt:lpstr>
      <vt:lpstr>'IMMUNO MF'!Print_Area</vt:lpstr>
      <vt:lpstr>'MICRO MF'!Print_Area</vt:lpstr>
      <vt:lpstr>'OBT MF'!Print_Area</vt:lpstr>
      <vt:lpstr>OGTT!Print_Area</vt:lpstr>
      <vt:lpstr>'PT '!Print_Area</vt:lpstr>
      <vt:lpstr>'SE MF'!Print_Area</vt:lpstr>
      <vt:lpstr>'UA MF'!Print_Area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CTRL-MFCT-DMU-RCU</dc:creator>
  <cp:lastModifiedBy>Sean Aguilar</cp:lastModifiedBy>
  <cp:lastPrinted>2026-02-05T15:36:01Z</cp:lastPrinted>
  <dcterms:created xsi:type="dcterms:W3CDTF">2022-03-27T12:34:45Z</dcterms:created>
  <dcterms:modified xsi:type="dcterms:W3CDTF">2026-02-05T15:36:05Z</dcterms:modified>
</cp:coreProperties>
</file>