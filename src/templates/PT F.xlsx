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linical-lab-form\src\templates\"/>
    </mc:Choice>
  </mc:AlternateContent>
  <xr:revisionPtr revIDLastSave="0" documentId="8_{19EAE080-6614-4A6D-A5E4-EED32823BB20}" xr6:coauthVersionLast="47" xr6:coauthVersionMax="47" xr10:uidLastSave="{00000000-0000-0000-0000-000000000000}"/>
  <bookViews>
    <workbookView xWindow="-108" yWindow="-108" windowWidth="23256" windowHeight="12456" xr2:uid="{234F24C4-5B17-412E-8522-40EC44161EAD}"/>
  </bookViews>
  <sheets>
    <sheet name="PT " sheetId="1" r:id="rId1"/>
  </sheets>
  <definedNames>
    <definedName name="_xlnm.Print_Area" localSheetId="0">'PT '!$A$1:$K$52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2" i="1" l="1"/>
  <c r="A21" i="1"/>
  <c r="F21" i="1" s="1"/>
  <c r="D19" i="1"/>
</calcChain>
</file>

<file path=xl/sharedStrings.xml><?xml version="1.0" encoding="utf-8"?>
<sst xmlns="http://schemas.openxmlformats.org/spreadsheetml/2006/main" count="98" uniqueCount="85">
  <si>
    <t xml:space="preserve">LABORATORY TEST RESULTS </t>
  </si>
  <si>
    <t>Laboratory ID No.:</t>
  </si>
  <si>
    <t>Patient ID No.:</t>
  </si>
  <si>
    <r>
      <t>Date &amp; Time of Requisition:</t>
    </r>
    <r>
      <rPr>
        <sz val="9"/>
        <color theme="1"/>
        <rFont val="Times New Roman"/>
        <family val="1"/>
      </rPr>
      <t xml:space="preserve"> </t>
    </r>
    <r>
      <rPr>
        <i/>
        <sz val="9"/>
        <color theme="1"/>
        <rFont val="Times New Roman"/>
        <family val="1"/>
      </rPr>
      <t>dd/mmm/yyyy hh:mm</t>
    </r>
  </si>
  <si>
    <t>Patient's Last Name</t>
  </si>
  <si>
    <t>Patient's First Name</t>
  </si>
  <si>
    <t>Patient's Middle Name</t>
  </si>
  <si>
    <r>
      <t xml:space="preserve">Date of Birth: </t>
    </r>
    <r>
      <rPr>
        <i/>
        <sz val="10"/>
        <color theme="1"/>
        <rFont val="Times New Roman"/>
        <family val="1"/>
      </rPr>
      <t>dd/mmm/yyyy</t>
    </r>
  </si>
  <si>
    <t>Age:</t>
  </si>
  <si>
    <t>Sex:</t>
  </si>
  <si>
    <t>Name of Requesting Phyisician:</t>
  </si>
  <si>
    <t>Female</t>
  </si>
  <si>
    <r>
      <rPr>
        <sz val="11"/>
        <color theme="1"/>
        <rFont val="Times New Roman"/>
        <family val="1"/>
      </rPr>
      <t>Date &amp; Time Performed:</t>
    </r>
    <r>
      <rPr>
        <i/>
        <sz val="11"/>
        <color theme="1"/>
        <rFont val="Times New Roman"/>
        <family val="1"/>
      </rPr>
      <t xml:space="preserve"> </t>
    </r>
    <r>
      <rPr>
        <i/>
        <sz val="9"/>
        <color theme="1"/>
        <rFont val="Times New Roman"/>
        <family val="1"/>
      </rPr>
      <t>dd/mmm/yyyy hh:mm</t>
    </r>
  </si>
  <si>
    <r>
      <rPr>
        <sz val="11"/>
        <color theme="1"/>
        <rFont val="Times New Roman"/>
        <family val="1"/>
      </rPr>
      <t>Date &amp; Time Released:</t>
    </r>
    <r>
      <rPr>
        <i/>
        <sz val="11"/>
        <color theme="1"/>
        <rFont val="Times New Roman"/>
        <family val="1"/>
      </rPr>
      <t xml:space="preserve"> </t>
    </r>
    <r>
      <rPr>
        <i/>
        <sz val="9"/>
        <color theme="1"/>
        <rFont val="Times New Roman"/>
        <family val="1"/>
      </rPr>
      <t>dd/mmm/yyyy hh:mm</t>
    </r>
  </si>
  <si>
    <t>Location:</t>
  </si>
  <si>
    <t>CLINICAL MICROSCOPY</t>
  </si>
  <si>
    <t>PREGNANCY TEST</t>
  </si>
  <si>
    <t>TEST PARAMETER</t>
  </si>
  <si>
    <t>RESULT</t>
  </si>
  <si>
    <t>UNIT</t>
  </si>
  <si>
    <t>REFERENCE</t>
  </si>
  <si>
    <t>PHYSICAL EXAMINATION</t>
  </si>
  <si>
    <t>Color</t>
  </si>
  <si>
    <t>YELLOW</t>
  </si>
  <si>
    <t>*</t>
  </si>
  <si>
    <t>Clarity</t>
  </si>
  <si>
    <t>CLEAR</t>
  </si>
  <si>
    <t>CHEMICAL EXAMINATION</t>
  </si>
  <si>
    <t>pH</t>
  </si>
  <si>
    <t>6.0</t>
  </si>
  <si>
    <t>4.6 - 8.0</t>
  </si>
  <si>
    <t>Specific Gravity</t>
  </si>
  <si>
    <t>1.010</t>
  </si>
  <si>
    <t>1.005 - 1.030</t>
  </si>
  <si>
    <t>Pregnancy Test</t>
  </si>
  <si>
    <t>β-hCG</t>
  </si>
  <si>
    <t>NEGATIVE</t>
  </si>
  <si>
    <t>This is an electronically generated result. Please correlate the results clinically.</t>
  </si>
  <si>
    <t xml:space="preserve">REMARKS: </t>
  </si>
  <si>
    <t>Performed:</t>
  </si>
  <si>
    <t>Verified:</t>
  </si>
  <si>
    <t>Approved:</t>
  </si>
  <si>
    <t>PHILL JUSTIN G. GALAROZA, RMT</t>
  </si>
  <si>
    <t>ROLDAN A. CUBILLO, RMT, MPH, MMHoA</t>
  </si>
  <si>
    <t>ALMA E. MALILONG, MD, FPSP</t>
  </si>
  <si>
    <t>Medical Technologist</t>
  </si>
  <si>
    <t>Chief Medical Technologist</t>
  </si>
  <si>
    <t>Pathologist</t>
  </si>
  <si>
    <t>Lic. No. 0032751</t>
  </si>
  <si>
    <t>Lic. No. 0045935</t>
  </si>
  <si>
    <t>RICO JAMES R. GARGAR, RMT</t>
  </si>
  <si>
    <t>Lic. No. 0091946</t>
  </si>
  <si>
    <t>Lic. No. 0068902</t>
  </si>
  <si>
    <t>RAMON BRYAN A. ABELLA, RMT</t>
  </si>
  <si>
    <t>Lic. No. 0081395</t>
  </si>
  <si>
    <t>LEYSAM C. BANTILO, RMT</t>
  </si>
  <si>
    <t>Lic. No. 0054465</t>
  </si>
  <si>
    <t>RHIAN JESS E. CANILLAS, RMT</t>
  </si>
  <si>
    <t>Lic. No. 0060939</t>
  </si>
  <si>
    <t>URINE COLOR</t>
  </si>
  <si>
    <t>CLARITY</t>
  </si>
  <si>
    <t>SPECIFIC GRAVITY</t>
  </si>
  <si>
    <t>COLORLESS</t>
  </si>
  <si>
    <t>LIGHT YELLOW</t>
  </si>
  <si>
    <t>SLIGHTLY CLOUDY</t>
  </si>
  <si>
    <t>POSITIVE</t>
  </si>
  <si>
    <t>CLOUDY</t>
  </si>
  <si>
    <t>DARK YELLOW</t>
  </si>
  <si>
    <t>TURBID</t>
  </si>
  <si>
    <t>YELLOW-ORANGE</t>
  </si>
  <si>
    <t>MILKY</t>
  </si>
  <si>
    <t>YELLOW-GREEN</t>
  </si>
  <si>
    <t>YELLOW-BROWN</t>
  </si>
  <si>
    <t>ORANGE-BROWN</t>
  </si>
  <si>
    <t>LIGHT RED</t>
  </si>
  <si>
    <t>RED</t>
  </si>
  <si>
    <t>DARK RED</t>
  </si>
  <si>
    <t>RED-ORANGE</t>
  </si>
  <si>
    <t>RED-PURPLE</t>
  </si>
  <si>
    <t>RED-BROWN</t>
  </si>
  <si>
    <t>DARK BROWN</t>
  </si>
  <si>
    <t>BROWN-BLACK</t>
  </si>
  <si>
    <t>BLACK</t>
  </si>
  <si>
    <t>BLUE-GREEN</t>
  </si>
  <si>
    <t>GREEN-BROWN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</si>
</sst>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m/yyyy"/>
    <numFmt numFmtId="165" formatCode="0.0"/>
    <numFmt numFmtId="166" formatCode="0.0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0"/>
      <color theme="1"/>
      <name val="Times New Roman"/>
      <family val="1"/>
    </font>
    <font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2"/>
      <color theme="1"/>
      <name val="Calibri"/>
      <family val="2"/>
      <scheme val="minor"/>
    </font>
    <font>
      <i/>
      <sz val="10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u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i/>
      <sz val="7"/>
      <color theme="1"/>
      <name val="Times New Roman"/>
      <family val="1"/>
    </font>
    <font>
      <b/>
      <i/>
      <sz val="11"/>
      <color theme="1"/>
      <name val="Times New Roman"/>
      <family val="1"/>
    </font>
    <font>
      <b/>
      <u/>
      <sz val="9"/>
      <color theme="1"/>
      <name val="Times New Roman"/>
      <family val="1"/>
    </font>
    <font>
      <u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 Light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18" fontId="2" fillId="0" borderId="7" xfId="0" applyNumberFormat="1" applyFont="1" applyBorder="1" applyAlignment="1">
      <alignment horizontal="center"/>
    </xf>
    <xf numFmtId="18" fontId="2" fillId="0" borderId="8" xfId="0" applyNumberFormat="1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0" xfId="0" applyFont="1"/>
    <xf numFmtId="0" fontId="8" fillId="0" borderId="14" xfId="0" applyFont="1" applyBorder="1" applyAlignment="1">
      <alignment horizontal="center"/>
    </xf>
    <xf numFmtId="14" fontId="4" fillId="0" borderId="1" xfId="0" applyNumberFormat="1" applyFont="1" applyBorder="1" applyAlignment="1">
      <alignment horizontal="left"/>
    </xf>
    <xf numFmtId="164" fontId="2" fillId="0" borderId="8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0" xfId="0" applyFont="1"/>
    <xf numFmtId="0" fontId="2" fillId="0" borderId="6" xfId="0" applyFont="1" applyBorder="1" applyAlignment="1">
      <alignment horizontal="center" shrinkToFit="1"/>
    </xf>
    <xf numFmtId="0" fontId="0" fillId="0" borderId="8" xfId="0" applyBorder="1" applyAlignment="1">
      <alignment horizontal="center" shrinkToFit="1"/>
    </xf>
    <xf numFmtId="0" fontId="3" fillId="2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2" fillId="3" borderId="15" xfId="0" applyFont="1" applyFill="1" applyBorder="1" applyAlignment="1">
      <alignment horizontal="center"/>
    </xf>
    <xf numFmtId="0" fontId="12" fillId="3" borderId="16" xfId="0" applyFont="1" applyFill="1" applyBorder="1" applyAlignment="1">
      <alignment horizontal="center"/>
    </xf>
    <xf numFmtId="0" fontId="12" fillId="3" borderId="17" xfId="0" applyFont="1" applyFill="1" applyBorder="1" applyAlignment="1">
      <alignment horizontal="center"/>
    </xf>
    <xf numFmtId="0" fontId="13" fillId="0" borderId="1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0" fontId="0" fillId="0" borderId="4" xfId="0" applyBorder="1" applyAlignment="1">
      <alignment vertical="center"/>
    </xf>
    <xf numFmtId="0" fontId="4" fillId="0" borderId="0" xfId="0" applyFont="1" applyAlignment="1">
      <alignment horizontal="left" vertical="center"/>
    </xf>
    <xf numFmtId="0" fontId="2" fillId="0" borderId="0" xfId="0" applyFont="1"/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0" fontId="13" fillId="0" borderId="4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165" fontId="2" fillId="0" borderId="0" xfId="0" applyNumberFormat="1" applyFont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49" fontId="14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49" fontId="2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5" xfId="0" applyNumberFormat="1" applyBorder="1" applyAlignment="1">
      <alignment horizontal="center"/>
    </xf>
    <xf numFmtId="0" fontId="15" fillId="0" borderId="6" xfId="0" applyFont="1" applyBorder="1" applyAlignment="1">
      <alignment horizontal="center"/>
    </xf>
    <xf numFmtId="0" fontId="15" fillId="0" borderId="7" xfId="0" applyFont="1" applyBorder="1" applyAlignment="1">
      <alignment horizontal="center"/>
    </xf>
    <xf numFmtId="0" fontId="15" fillId="0" borderId="8" xfId="0" applyFont="1" applyBorder="1" applyAlignment="1">
      <alignment horizontal="center"/>
    </xf>
    <xf numFmtId="0" fontId="12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6" fillId="0" borderId="0" xfId="0" applyFont="1" applyAlignment="1">
      <alignment vertical="center"/>
    </xf>
    <xf numFmtId="0" fontId="16" fillId="0" borderId="0" xfId="0" applyFont="1"/>
    <xf numFmtId="0" fontId="0" fillId="0" borderId="0" xfId="0" applyAlignment="1">
      <alignment horizontal="left"/>
    </xf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18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19" fillId="0" borderId="0" xfId="0" applyFont="1"/>
    <xf numFmtId="0" fontId="1" fillId="0" borderId="0" xfId="0" applyFont="1"/>
    <xf numFmtId="15" fontId="0" fillId="0" borderId="0" xfId="0" applyNumberFormat="1"/>
    <xf numFmtId="18" fontId="0" fillId="0" borderId="0" xfId="0" applyNumberFormat="1"/>
    <xf numFmtId="0" fontId="20" fillId="0" borderId="0" xfId="0" applyFont="1"/>
    <xf numFmtId="16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0" fontId="0" fillId="0" borderId="0" xfId="0" applyNumberFormat="1"/>
    <xf numFmtId="14" fontId="0" fillId="0" borderId="0" xfId="0" applyNumberFormat="1" applyAlignment="1">
      <alignment horizontal="right"/>
    </xf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502920</xdr:colOff>
      <xdr:row>0</xdr:row>
      <xdr:rowOff>119380</xdr:rowOff>
    </xdr:from>
    <xdr:to>
      <xdr:col>9</xdr:col>
      <xdr:colOff>152400</xdr:colOff>
      <xdr:row>6</xdr:row>
      <xdr:rowOff>104140</xdr:rowOff>
    </xdr:to>
    <xdr:sp macro="" textlink="">
      <xdr:nvSpPr>
        <xdr:cNvPr id="2" name="Text Box 4">
          <a:extLst>
            <a:ext uri="{FF2B5EF4-FFF2-40B4-BE49-F238E27FC236}">
              <a16:creationId xmlns:a16="http://schemas.microsoft.com/office/drawing/2014/main" id="{79513EBC-61EF-4075-B93D-60E7AD2CC39D}"/>
            </a:ext>
          </a:extLst>
        </xdr:cNvPr>
        <xdr:cNvSpPr txBox="1">
          <a:spLocks noChangeArrowheads="1"/>
        </xdr:cNvSpPr>
      </xdr:nvSpPr>
      <xdr:spPr bwMode="auto">
        <a:xfrm>
          <a:off x="1150620" y="119380"/>
          <a:ext cx="4831080" cy="108204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635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Republic of the Philippines</a:t>
          </a:r>
          <a:endParaRPr lang="en-US" sz="10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Department of Health</a:t>
          </a:r>
          <a:endParaRPr lang="en-US" sz="10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CENTRAL VISAYAS CENTER FOR HEALTH DEVELOPMENT</a:t>
          </a:r>
          <a:endParaRPr lang="en-US" sz="10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ctr" rtl="0">
            <a:defRPr sz="1000"/>
          </a:pPr>
          <a:r>
            <a:rPr lang="en-US" sz="1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DOH - Central Visayas Clinical Laboratory</a:t>
          </a:r>
          <a:endParaRPr lang="en-US" sz="18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Osmeña Boulevard, Sambag II, Cebu City, Cebu, Philippines</a:t>
          </a:r>
        </a:p>
      </xdr:txBody>
    </xdr:sp>
    <xdr:clientData/>
  </xdr:twoCellAnchor>
  <xdr:twoCellAnchor>
    <xdr:from>
      <xdr:col>1</xdr:col>
      <xdr:colOff>502920</xdr:colOff>
      <xdr:row>0</xdr:row>
      <xdr:rowOff>53340</xdr:rowOff>
    </xdr:from>
    <xdr:to>
      <xdr:col>9</xdr:col>
      <xdr:colOff>152400</xdr:colOff>
      <xdr:row>6</xdr:row>
      <xdr:rowOff>144060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49C1B817-AA61-4E40-AF33-D654683407DD}"/>
            </a:ext>
          </a:extLst>
        </xdr:cNvPr>
        <xdr:cNvSpPr txBox="1">
          <a:spLocks noChangeArrowheads="1"/>
        </xdr:cNvSpPr>
      </xdr:nvSpPr>
      <xdr:spPr bwMode="auto">
        <a:xfrm>
          <a:off x="1150620" y="53340"/>
          <a:ext cx="4831080" cy="11880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635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0" rIns="91440" bIns="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Republic of the Philippines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Calibri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Department of Health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Calibri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CENTRAL VISAYAS CENTER FOR HEALTH DEVELOPMENT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Calibri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6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DOH - Central Visayas Clinical Laboratory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Calibri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Osmeña Boulevard, Sambag II, Cebu City, Cebu, Philippines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License To Operate: 07-116-26-CL-1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Issued: 01 January 2026; Valid Until: 31 December 2026</a:t>
          </a:r>
        </a:p>
      </xdr:txBody>
    </xdr:sp>
    <xdr:clientData/>
  </xdr:twoCellAnchor>
  <xdr:twoCellAnchor editAs="oneCell">
    <xdr:from>
      <xdr:col>7</xdr:col>
      <xdr:colOff>525780</xdr:colOff>
      <xdr:row>45</xdr:row>
      <xdr:rowOff>137160</xdr:rowOff>
    </xdr:from>
    <xdr:to>
      <xdr:col>11</xdr:col>
      <xdr:colOff>228600</xdr:colOff>
      <xdr:row>50</xdr:row>
      <xdr:rowOff>172044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284A001-CE8A-46E8-8932-649A563F80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059680" y="8054340"/>
          <a:ext cx="2293620" cy="949284"/>
        </a:xfrm>
        <a:prstGeom prst="rect">
          <a:avLst/>
        </a:prstGeom>
      </xdr:spPr>
    </xdr:pic>
    <xdr:clientData/>
  </xdr:twoCellAnchor>
  <xdr:twoCellAnchor editAs="oneCell">
    <xdr:from>
      <xdr:col>9</xdr:col>
      <xdr:colOff>167640</xdr:colOff>
      <xdr:row>0</xdr:row>
      <xdr:rowOff>121920</xdr:rowOff>
    </xdr:from>
    <xdr:to>
      <xdr:col>10</xdr:col>
      <xdr:colOff>482782</xdr:colOff>
      <xdr:row>5</xdr:row>
      <xdr:rowOff>121920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E3BD825-3FCF-46BA-BD75-19DBA666FB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96940" y="121920"/>
          <a:ext cx="962842" cy="914400"/>
        </a:xfrm>
        <a:prstGeom prst="rect">
          <a:avLst/>
        </a:prstGeom>
      </xdr:spPr>
    </xdr:pic>
    <xdr:clientData/>
  </xdr:twoCellAnchor>
  <xdr:twoCellAnchor editAs="oneCell">
    <xdr:from>
      <xdr:col>0</xdr:col>
      <xdr:colOff>182880</xdr:colOff>
      <xdr:row>1</xdr:row>
      <xdr:rowOff>0</xdr:rowOff>
    </xdr:from>
    <xdr:to>
      <xdr:col>1</xdr:col>
      <xdr:colOff>472020</xdr:colOff>
      <xdr:row>6</xdr:row>
      <xdr:rowOff>7200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2071BFD-D1A5-4B0D-8678-E9A9C7F8D0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80" y="182880"/>
          <a:ext cx="936840" cy="921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A6AF8-CA41-4BC2-BA97-05D072D0B943}">
  <dimension ref="A1:K150"/>
  <sheetViews>
    <sheetView tabSelected="1" view="pageLayout" topLeftCell="A22" zoomScaleNormal="100" workbookViewId="0">
      <selection activeCell="A53" sqref="A53:D53"/>
    </sheetView>
  </sheetViews>
  <sheetFormatPr defaultColWidth="9.44140625" defaultRowHeight="14.4" x14ac:dyDescent="0.3"/>
  <cols>
    <col min="1" max="11" width="9" customWidth="1"/>
  </cols>
  <sheetData>
    <row r="1" spans="1:1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x14ac:dyDescent="0.3">
      <c r="A2" s="4"/>
      <c r="K2" s="5"/>
    </row>
    <row r="3" spans="1:11" x14ac:dyDescent="0.3">
      <c r="A3" s="4"/>
      <c r="K3" s="5"/>
    </row>
    <row r="4" spans="1:11" x14ac:dyDescent="0.3">
      <c r="A4" s="4"/>
      <c r="K4" s="5"/>
    </row>
    <row r="5" spans="1:11" x14ac:dyDescent="0.3">
      <c r="A5" s="4"/>
      <c r="K5" s="5"/>
    </row>
    <row r="6" spans="1:11" x14ac:dyDescent="0.3">
      <c r="A6" s="4"/>
      <c r="K6" s="5"/>
    </row>
    <row r="7" spans="1:11" ht="13.95" customHeight="1" thickBot="1" x14ac:dyDescent="0.35">
      <c r="A7" s="6"/>
      <c r="B7" s="7"/>
      <c r="C7" s="7"/>
      <c r="D7" s="7"/>
      <c r="E7" s="7"/>
      <c r="F7" s="7"/>
      <c r="G7" s="7"/>
      <c r="H7" s="7"/>
      <c r="I7" s="7"/>
      <c r="J7" s="7"/>
      <c r="K7" s="8"/>
    </row>
    <row r="8" spans="1:11" ht="7.95" customHeight="1" x14ac:dyDescent="0.3"/>
    <row r="9" spans="1:11" ht="14.4" customHeight="1" x14ac:dyDescent="0.3">
      <c r="A9" s="9" t="s">
        <v>0</v>
      </c>
      <c r="B9" s="9"/>
      <c r="C9" s="9"/>
      <c r="D9" s="9"/>
      <c r="E9" s="9"/>
      <c r="F9" s="9"/>
      <c r="G9" s="9"/>
      <c r="H9" s="9"/>
      <c r="I9" s="9"/>
      <c r="J9" s="9"/>
      <c r="K9" s="9"/>
    </row>
    <row r="10" spans="1:11" ht="4.6500000000000004" customHeight="1" thickBot="1" x14ac:dyDescent="0.35"/>
    <row r="11" spans="1:11" ht="15" customHeight="1" x14ac:dyDescent="0.3">
      <c r="A11" s="10" t="s">
        <v>1</v>
      </c>
      <c r="B11" s="11"/>
      <c r="C11" s="12"/>
      <c r="D11" s="10" t="s">
        <v>2</v>
      </c>
      <c r="E11" s="11"/>
      <c r="F11" s="12"/>
      <c r="G11" s="10" t="s">
        <v>3</v>
      </c>
      <c r="H11" s="11"/>
      <c r="I11" s="11"/>
      <c r="J11" s="11"/>
      <c r="K11" s="12"/>
    </row>
    <row r="12" spans="1:11" ht="15" thickBot="1" x14ac:dyDescent="0.35">
      <c r="A12" s="13"/>
      <c r="B12" s="14"/>
      <c r="C12" s="15"/>
      <c r="D12" s="13"/>
      <c r="E12" s="14"/>
      <c r="F12" s="15"/>
      <c r="G12" s="16"/>
      <c r="H12" s="17"/>
      <c r="I12" s="17"/>
      <c r="J12" s="18">
        <v>0.33333333333333331</v>
      </c>
      <c r="K12" s="19"/>
    </row>
    <row r="13" spans="1:11" x14ac:dyDescent="0.3">
      <c r="A13" s="1"/>
      <c r="B13" s="2"/>
      <c r="C13" s="2"/>
      <c r="D13" s="2"/>
      <c r="E13" s="2"/>
      <c r="F13" s="2"/>
      <c r="G13" s="2"/>
      <c r="H13" s="2"/>
      <c r="I13" s="2"/>
      <c r="J13" s="2"/>
      <c r="K13" s="3"/>
    </row>
    <row r="14" spans="1:11" x14ac:dyDescent="0.3">
      <c r="A14" s="4"/>
      <c r="K14" s="5"/>
    </row>
    <row r="15" spans="1:11" ht="15.6" x14ac:dyDescent="0.3">
      <c r="A15" s="20"/>
      <c r="B15" s="21"/>
      <c r="C15" s="21"/>
      <c r="E15" s="21"/>
      <c r="F15" s="21"/>
      <c r="G15" s="21"/>
      <c r="I15" s="21"/>
      <c r="J15" s="21"/>
      <c r="K15" s="22"/>
    </row>
    <row r="16" spans="1:11" x14ac:dyDescent="0.3">
      <c r="A16" s="23" t="s">
        <v>4</v>
      </c>
      <c r="B16" s="24"/>
      <c r="C16" s="24"/>
      <c r="D16" s="25"/>
      <c r="E16" s="24" t="s">
        <v>5</v>
      </c>
      <c r="F16" s="24"/>
      <c r="G16" s="24"/>
      <c r="H16" s="25"/>
      <c r="I16" s="24" t="s">
        <v>6</v>
      </c>
      <c r="J16" s="24"/>
      <c r="K16" s="26"/>
    </row>
    <row r="17" spans="1:11" ht="6" customHeight="1" thickBot="1" x14ac:dyDescent="0.35">
      <c r="A17" s="6"/>
      <c r="B17" s="7"/>
      <c r="C17" s="7"/>
      <c r="D17" s="7"/>
      <c r="E17" s="7"/>
      <c r="F17" s="7"/>
      <c r="G17" s="7"/>
      <c r="H17" s="7"/>
      <c r="I17" s="7"/>
      <c r="J17" s="7"/>
      <c r="K17" s="8"/>
    </row>
    <row r="18" spans="1:11" x14ac:dyDescent="0.3">
      <c r="A18" s="27" t="s">
        <v>7</v>
      </c>
      <c r="B18" s="11"/>
      <c r="C18" s="12"/>
      <c r="D18" s="10" t="s">
        <v>8</v>
      </c>
      <c r="E18" s="12"/>
      <c r="F18" s="10" t="s">
        <v>9</v>
      </c>
      <c r="G18" s="12"/>
      <c r="H18" s="10" t="s">
        <v>10</v>
      </c>
      <c r="I18" s="11"/>
      <c r="J18" s="11"/>
      <c r="K18" s="12"/>
    </row>
    <row r="19" spans="1:11" ht="15" thickBot="1" x14ac:dyDescent="0.35">
      <c r="A19" s="16"/>
      <c r="B19" s="17"/>
      <c r="C19" s="28"/>
      <c r="D19" s="13">
        <f ca="1">INT((TODAY()-A19)/365.25)</f>
        <v>126</v>
      </c>
      <c r="E19" s="15"/>
      <c r="F19" s="13" t="s">
        <v>11</v>
      </c>
      <c r="G19" s="15"/>
      <c r="H19" s="13"/>
      <c r="I19" s="14"/>
      <c r="J19" s="14"/>
      <c r="K19" s="15"/>
    </row>
    <row r="20" spans="1:11" ht="14.4" customHeight="1" x14ac:dyDescent="0.3">
      <c r="A20" s="29" t="s">
        <v>12</v>
      </c>
      <c r="B20" s="2"/>
      <c r="C20" s="2"/>
      <c r="D20" s="2"/>
      <c r="E20" s="3"/>
      <c r="F20" s="30" t="s">
        <v>13</v>
      </c>
      <c r="J20" s="29" t="s">
        <v>14</v>
      </c>
      <c r="K20" s="3"/>
    </row>
    <row r="21" spans="1:11" ht="15" thickBot="1" x14ac:dyDescent="0.35">
      <c r="A21" s="16">
        <f>G12</f>
        <v>0</v>
      </c>
      <c r="B21" s="17"/>
      <c r="C21" s="17"/>
      <c r="D21" s="18">
        <v>0.375</v>
      </c>
      <c r="E21" s="19"/>
      <c r="F21" s="16">
        <f>A21</f>
        <v>0</v>
      </c>
      <c r="G21" s="17"/>
      <c r="H21" s="18">
        <v>0.45833333333333331</v>
      </c>
      <c r="I21" s="19"/>
      <c r="J21" s="31"/>
      <c r="K21" s="32"/>
    </row>
    <row r="22" spans="1:11" ht="14.4" customHeight="1" x14ac:dyDescent="0.3">
      <c r="A22" s="33" t="s">
        <v>15</v>
      </c>
      <c r="B22" s="34"/>
      <c r="C22" s="34"/>
      <c r="D22" s="34"/>
      <c r="E22" s="34"/>
      <c r="F22" s="34"/>
      <c r="G22" s="34"/>
      <c r="H22" s="34"/>
      <c r="I22" s="34"/>
      <c r="J22" s="34"/>
      <c r="K22" s="35"/>
    </row>
    <row r="23" spans="1:11" ht="15" customHeight="1" thickBot="1" x14ac:dyDescent="0.35">
      <c r="A23" s="36"/>
      <c r="B23" s="37"/>
      <c r="C23" s="37"/>
      <c r="D23" s="37"/>
      <c r="E23" s="37"/>
      <c r="F23" s="37"/>
      <c r="G23" s="37"/>
      <c r="H23" s="37"/>
      <c r="I23" s="37"/>
      <c r="J23" s="37"/>
      <c r="K23" s="38"/>
    </row>
    <row r="24" spans="1:11" ht="18" thickBot="1" x14ac:dyDescent="0.35">
      <c r="A24" s="39" t="s">
        <v>16</v>
      </c>
      <c r="B24" s="40"/>
      <c r="C24" s="40"/>
      <c r="D24" s="40"/>
      <c r="E24" s="40"/>
      <c r="F24" s="40"/>
      <c r="G24" s="40"/>
      <c r="H24" s="40"/>
      <c r="I24" s="40"/>
      <c r="J24" s="40"/>
      <c r="K24" s="41"/>
    </row>
    <row r="25" spans="1:11" ht="15" thickBot="1" x14ac:dyDescent="0.35">
      <c r="A25" s="42" t="s">
        <v>17</v>
      </c>
      <c r="B25" s="43"/>
      <c r="C25" s="43"/>
      <c r="D25" s="44"/>
      <c r="E25" s="42" t="s">
        <v>18</v>
      </c>
      <c r="F25" s="43"/>
      <c r="G25" s="44"/>
      <c r="H25" s="42" t="s">
        <v>19</v>
      </c>
      <c r="I25" s="44"/>
      <c r="J25" s="42" t="s">
        <v>20</v>
      </c>
      <c r="K25" s="44"/>
    </row>
    <row r="26" spans="1:11" x14ac:dyDescent="0.3">
      <c r="A26" s="45" t="s">
        <v>21</v>
      </c>
      <c r="B26" s="46"/>
      <c r="C26" s="46"/>
      <c r="D26" s="2"/>
      <c r="E26" s="2"/>
      <c r="F26" s="2"/>
      <c r="J26" s="47"/>
      <c r="K26" s="5"/>
    </row>
    <row r="27" spans="1:11" x14ac:dyDescent="0.3">
      <c r="A27" s="48"/>
      <c r="B27" s="49" t="s">
        <v>22</v>
      </c>
      <c r="D27" s="50"/>
      <c r="E27" s="51" t="s">
        <v>23</v>
      </c>
      <c r="F27" s="51"/>
      <c r="G27" s="51"/>
      <c r="H27" s="52" t="s">
        <v>24</v>
      </c>
      <c r="I27" s="52"/>
      <c r="J27" s="52" t="s">
        <v>24</v>
      </c>
      <c r="K27" s="53"/>
    </row>
    <row r="28" spans="1:11" x14ac:dyDescent="0.3">
      <c r="A28" s="48"/>
      <c r="B28" s="49" t="s">
        <v>25</v>
      </c>
      <c r="D28" s="50"/>
      <c r="E28" s="51" t="s">
        <v>26</v>
      </c>
      <c r="F28" s="51"/>
      <c r="G28" s="51"/>
      <c r="H28" s="52" t="s">
        <v>24</v>
      </c>
      <c r="I28" s="52"/>
      <c r="J28" s="52" t="s">
        <v>24</v>
      </c>
      <c r="K28" s="53"/>
    </row>
    <row r="29" spans="1:11" x14ac:dyDescent="0.3">
      <c r="A29" s="54" t="s">
        <v>27</v>
      </c>
      <c r="B29" s="55"/>
      <c r="C29" s="55"/>
      <c r="D29" s="50"/>
      <c r="E29" s="51"/>
      <c r="F29" s="51"/>
      <c r="G29" s="52"/>
      <c r="H29" s="52"/>
      <c r="I29" s="52"/>
      <c r="J29" s="52"/>
      <c r="K29" s="53"/>
    </row>
    <row r="30" spans="1:11" ht="14.1" customHeight="1" x14ac:dyDescent="0.3">
      <c r="A30" s="48"/>
      <c r="B30" s="49" t="s">
        <v>28</v>
      </c>
      <c r="D30" s="50"/>
      <c r="E30" s="56" t="s">
        <v>29</v>
      </c>
      <c r="F30" s="56"/>
      <c r="G30" s="56"/>
      <c r="H30" s="52" t="s">
        <v>24</v>
      </c>
      <c r="I30" s="52"/>
      <c r="J30" s="52" t="s">
        <v>30</v>
      </c>
      <c r="K30" s="53"/>
    </row>
    <row r="31" spans="1:11" ht="14.1" customHeight="1" x14ac:dyDescent="0.3">
      <c r="A31" s="48"/>
      <c r="B31" s="49" t="s">
        <v>31</v>
      </c>
      <c r="D31" s="50"/>
      <c r="E31" s="57" t="s">
        <v>32</v>
      </c>
      <c r="F31" s="57"/>
      <c r="G31" s="57"/>
      <c r="H31" s="52" t="s">
        <v>24</v>
      </c>
      <c r="I31" s="52"/>
      <c r="J31" s="52" t="s">
        <v>33</v>
      </c>
      <c r="K31" s="53"/>
    </row>
    <row r="32" spans="1:11" x14ac:dyDescent="0.3">
      <c r="A32" s="54" t="s">
        <v>34</v>
      </c>
      <c r="B32" s="55"/>
      <c r="C32" s="55"/>
      <c r="D32" s="50"/>
      <c r="E32" s="51"/>
      <c r="F32" s="51"/>
      <c r="G32" s="52"/>
      <c r="H32" s="52"/>
      <c r="I32" s="52"/>
      <c r="J32" s="52"/>
      <c r="K32" s="53"/>
    </row>
    <row r="33" spans="1:11" ht="18" x14ac:dyDescent="0.3">
      <c r="A33" s="48"/>
      <c r="B33" s="49" t="s">
        <v>35</v>
      </c>
      <c r="D33" s="50"/>
      <c r="E33" s="58" t="s">
        <v>36</v>
      </c>
      <c r="F33" s="58"/>
      <c r="G33" s="58"/>
      <c r="H33" s="52" t="s">
        <v>24</v>
      </c>
      <c r="I33" s="52"/>
      <c r="J33" s="52" t="s">
        <v>24</v>
      </c>
      <c r="K33" s="53"/>
    </row>
    <row r="34" spans="1:11" ht="13.35" customHeight="1" x14ac:dyDescent="0.3">
      <c r="A34" s="48"/>
      <c r="B34" s="59"/>
      <c r="C34" s="59"/>
      <c r="D34" s="50"/>
      <c r="E34" s="60"/>
      <c r="F34" s="60"/>
      <c r="G34" s="61"/>
      <c r="H34" s="61"/>
      <c r="I34" s="61"/>
      <c r="J34" s="61"/>
      <c r="K34" s="62"/>
    </row>
    <row r="35" spans="1:11" x14ac:dyDescent="0.3">
      <c r="A35" s="48"/>
      <c r="B35" s="59"/>
      <c r="C35" s="59"/>
      <c r="D35" s="50"/>
      <c r="E35" s="60"/>
      <c r="F35" s="60"/>
      <c r="G35" s="61"/>
      <c r="H35" s="61"/>
      <c r="I35" s="61"/>
      <c r="J35" s="61"/>
      <c r="K35" s="62"/>
    </row>
    <row r="36" spans="1:11" x14ac:dyDescent="0.3">
      <c r="A36" s="48"/>
      <c r="B36" s="59"/>
      <c r="C36" s="59"/>
      <c r="D36" s="50"/>
      <c r="E36" s="60"/>
      <c r="F36" s="60"/>
      <c r="G36" s="61"/>
      <c r="H36" s="61"/>
      <c r="I36" s="61"/>
      <c r="J36" s="61"/>
      <c r="K36" s="62"/>
    </row>
    <row r="37" spans="1:11" x14ac:dyDescent="0.3">
      <c r="A37" s="48"/>
      <c r="B37" s="59"/>
      <c r="C37" s="59"/>
      <c r="D37" s="50"/>
      <c r="E37" s="60"/>
      <c r="F37" s="60"/>
      <c r="G37" s="61"/>
      <c r="H37" s="61"/>
      <c r="I37" s="61"/>
      <c r="J37" s="61"/>
      <c r="K37" s="62"/>
    </row>
    <row r="38" spans="1:11" x14ac:dyDescent="0.3">
      <c r="A38" s="48"/>
      <c r="B38" s="59"/>
      <c r="C38" s="59"/>
      <c r="D38" s="50"/>
      <c r="E38" s="60"/>
      <c r="F38" s="60"/>
      <c r="G38" s="61"/>
      <c r="H38" s="61"/>
      <c r="I38" s="61"/>
      <c r="J38" s="61"/>
      <c r="K38" s="62"/>
    </row>
    <row r="39" spans="1:11" x14ac:dyDescent="0.3">
      <c r="A39" s="48"/>
      <c r="B39" s="59"/>
      <c r="C39" s="59"/>
      <c r="D39" s="50"/>
      <c r="E39" s="60"/>
      <c r="F39" s="60"/>
      <c r="G39" s="61"/>
      <c r="H39" s="61"/>
      <c r="I39" s="61"/>
      <c r="J39" s="61"/>
      <c r="K39" s="62"/>
    </row>
    <row r="40" spans="1:11" x14ac:dyDescent="0.3">
      <c r="A40" s="48"/>
      <c r="B40" s="59"/>
      <c r="C40" s="59"/>
      <c r="D40" s="50"/>
      <c r="E40" s="60"/>
      <c r="F40" s="60"/>
      <c r="G40" s="61"/>
      <c r="H40" s="61"/>
      <c r="I40" s="61"/>
      <c r="J40" s="61"/>
      <c r="K40" s="62"/>
    </row>
    <row r="41" spans="1:11" x14ac:dyDescent="0.3">
      <c r="A41" s="48"/>
      <c r="B41" s="59"/>
      <c r="C41" s="59"/>
      <c r="D41" s="50"/>
      <c r="E41" s="60"/>
      <c r="F41" s="60"/>
      <c r="G41" s="61"/>
      <c r="H41" s="61"/>
      <c r="I41" s="61"/>
      <c r="J41" s="61"/>
      <c r="K41" s="62"/>
    </row>
    <row r="42" spans="1:11" x14ac:dyDescent="0.3">
      <c r="A42" s="48"/>
      <c r="B42" s="59"/>
      <c r="C42" s="59"/>
      <c r="D42" s="50"/>
      <c r="E42" s="60"/>
      <c r="F42" s="60"/>
      <c r="G42" s="61"/>
      <c r="H42" s="61"/>
      <c r="I42" s="61"/>
      <c r="J42" s="61"/>
      <c r="K42" s="62"/>
    </row>
    <row r="43" spans="1:11" ht="15" thickBot="1" x14ac:dyDescent="0.35">
      <c r="A43" s="63" t="s">
        <v>37</v>
      </c>
      <c r="B43" s="64"/>
      <c r="C43" s="64"/>
      <c r="D43" s="64"/>
      <c r="E43" s="64"/>
      <c r="F43" s="64"/>
      <c r="G43" s="64"/>
      <c r="H43" s="64"/>
      <c r="I43" s="64"/>
      <c r="J43" s="64"/>
      <c r="K43" s="65"/>
    </row>
    <row r="44" spans="1:11" x14ac:dyDescent="0.3">
      <c r="A44" s="66" t="s">
        <v>38</v>
      </c>
      <c r="B44" s="66"/>
      <c r="C44" s="67"/>
      <c r="D44" s="67"/>
      <c r="E44" s="67"/>
      <c r="F44" s="67"/>
      <c r="G44" s="67"/>
      <c r="H44" s="67"/>
      <c r="I44" s="67"/>
      <c r="J44" s="67"/>
      <c r="K44" s="67"/>
    </row>
    <row r="45" spans="1:11" ht="5.55" customHeight="1" x14ac:dyDescent="0.3">
      <c r="A45" s="68"/>
      <c r="B45" s="68"/>
      <c r="C45" s="69"/>
      <c r="D45" s="69"/>
      <c r="E45" s="69"/>
      <c r="F45" s="69"/>
      <c r="G45" s="69"/>
      <c r="H45" s="69"/>
      <c r="I45" s="69"/>
      <c r="J45" s="69"/>
      <c r="K45" s="69"/>
    </row>
    <row r="46" spans="1:11" x14ac:dyDescent="0.3">
      <c r="A46" s="70" t="s">
        <v>39</v>
      </c>
      <c r="E46" s="71" t="s">
        <v>40</v>
      </c>
      <c r="I46" s="71" t="s">
        <v>41</v>
      </c>
    </row>
    <row r="47" spans="1:11" x14ac:dyDescent="0.3">
      <c r="A47" s="70"/>
      <c r="E47" s="71"/>
      <c r="I47" s="71"/>
    </row>
    <row r="48" spans="1:11" x14ac:dyDescent="0.3">
      <c r="A48" s="70"/>
      <c r="E48" s="71"/>
      <c r="I48" s="71"/>
    </row>
    <row r="49" spans="1:11" x14ac:dyDescent="0.3">
      <c r="I49" s="72"/>
    </row>
    <row r="50" spans="1:11" x14ac:dyDescent="0.3">
      <c r="A50" s="73" t="s">
        <v>42</v>
      </c>
      <c r="B50" s="73"/>
      <c r="C50" s="73"/>
      <c r="D50" s="73"/>
      <c r="E50" s="73" t="s">
        <v>43</v>
      </c>
      <c r="F50" s="73"/>
      <c r="G50" s="73"/>
      <c r="H50" s="73"/>
      <c r="I50" s="74" t="s">
        <v>44</v>
      </c>
      <c r="J50" s="74"/>
      <c r="K50" s="74"/>
    </row>
    <row r="51" spans="1:11" x14ac:dyDescent="0.3">
      <c r="A51" s="75" t="s">
        <v>45</v>
      </c>
      <c r="B51" s="75"/>
      <c r="C51" s="75"/>
      <c r="D51" s="75"/>
      <c r="E51" s="76" t="s">
        <v>46</v>
      </c>
      <c r="F51" s="76"/>
      <c r="G51" s="76"/>
      <c r="H51" s="76"/>
      <c r="I51" s="76" t="s">
        <v>47</v>
      </c>
      <c r="J51" s="76"/>
      <c r="K51" s="76"/>
    </row>
    <row r="52" spans="1:11" x14ac:dyDescent="0.3">
      <c r="A52" s="76" t="str">
        <f>IF(A50=A59,"Lic. No. 0091946",IF(A50=A60,"Lic. No. 0068902",IF(A50=A61,"Lic. No. 0081395",IF(A50=A62,"Lic. No. 0054465",IF(A50=A63,"Lic. No. 0060939")))))</f>
        <v>Lic. No. 0068902</v>
      </c>
      <c r="B52" s="76"/>
      <c r="C52" s="76"/>
      <c r="D52" s="76"/>
      <c r="E52" s="76" t="s">
        <v>48</v>
      </c>
      <c r="F52" s="76"/>
      <c r="G52" s="76"/>
      <c r="H52" s="76"/>
      <c r="I52" s="76" t="s">
        <v>49</v>
      </c>
      <c r="J52" s="76"/>
      <c r="K52" s="76"/>
    </row>
    <row r="53" spans="1:11" x14ac:dyDescent="0.3">
      <c r="A53" s="76"/>
      <c r="B53" s="76"/>
      <c r="C53" s="76"/>
      <c r="D53" s="76"/>
      <c r="E53" s="76"/>
      <c r="F53" s="76"/>
      <c r="G53" s="76"/>
      <c r="H53" s="76"/>
      <c r="I53" s="76"/>
      <c r="J53" s="76"/>
      <c r="K53" s="76"/>
    </row>
    <row r="55" spans="1:11" x14ac:dyDescent="0.3">
      <c r="A55" s="77"/>
      <c r="B55" s="77"/>
      <c r="C55" s="77"/>
      <c r="D55" s="77"/>
    </row>
    <row r="56" spans="1:11" x14ac:dyDescent="0.3">
      <c r="C56" s="77"/>
      <c r="D56" s="77"/>
    </row>
    <row r="57" spans="1:11" ht="14.4" customHeight="1" x14ac:dyDescent="0.3">
      <c r="C57" s="77"/>
      <c r="D57" s="77"/>
    </row>
    <row r="59" spans="1:11" x14ac:dyDescent="0.3">
      <c r="A59" s="78" t="s">
        <v>50</v>
      </c>
      <c r="B59" s="78" t="s">
        <v>51</v>
      </c>
    </row>
    <row r="60" spans="1:11" x14ac:dyDescent="0.3">
      <c r="A60" s="79" t="s">
        <v>42</v>
      </c>
      <c r="B60" s="80" t="s">
        <v>52</v>
      </c>
    </row>
    <row r="61" spans="1:11" x14ac:dyDescent="0.3">
      <c r="A61" s="79" t="s">
        <v>53</v>
      </c>
      <c r="B61" s="80" t="s">
        <v>54</v>
      </c>
    </row>
    <row r="62" spans="1:11" x14ac:dyDescent="0.3">
      <c r="A62" t="s">
        <v>55</v>
      </c>
      <c r="B62" t="s">
        <v>56</v>
      </c>
    </row>
    <row r="63" spans="1:11" x14ac:dyDescent="0.3">
      <c r="A63" t="s">
        <v>57</v>
      </c>
      <c r="B63" t="s">
        <v>58</v>
      </c>
    </row>
    <row r="64" spans="1:11" hidden="1" x14ac:dyDescent="0.3"/>
    <row r="65" hidden="1" x14ac:dyDescent="0.3"/>
    <row r="66" hidden="1" x14ac:dyDescent="0.3"/>
    <row r="67" hidden="1" x14ac:dyDescent="0.3"/>
    <row r="68" hidden="1" x14ac:dyDescent="0.3"/>
    <row r="69" hidden="1" x14ac:dyDescent="0.3"/>
    <row r="70" hidden="1" x14ac:dyDescent="0.3"/>
    <row r="71" hidden="1" x14ac:dyDescent="0.3"/>
    <row r="72" hidden="1" x14ac:dyDescent="0.3"/>
    <row r="73" hidden="1" x14ac:dyDescent="0.3"/>
    <row r="74" hidden="1" x14ac:dyDescent="0.3"/>
    <row r="75" hidden="1" x14ac:dyDescent="0.3"/>
    <row r="76" hidden="1" x14ac:dyDescent="0.3"/>
    <row r="77" hidden="1" x14ac:dyDescent="0.3"/>
    <row r="78" hidden="1" x14ac:dyDescent="0.3"/>
    <row r="79" hidden="1" x14ac:dyDescent="0.3"/>
    <row r="80" hidden="1" x14ac:dyDescent="0.3"/>
    <row r="81" hidden="1" x14ac:dyDescent="0.3"/>
    <row r="82" hidden="1" x14ac:dyDescent="0.3"/>
    <row r="83" hidden="1" x14ac:dyDescent="0.3"/>
    <row r="84" hidden="1" x14ac:dyDescent="0.3"/>
    <row r="85" hidden="1" x14ac:dyDescent="0.3"/>
    <row r="86" hidden="1" x14ac:dyDescent="0.3"/>
    <row r="87" hidden="1" x14ac:dyDescent="0.3"/>
    <row r="88" hidden="1" x14ac:dyDescent="0.3"/>
    <row r="89" hidden="1" x14ac:dyDescent="0.3"/>
    <row r="90" hidden="1" x14ac:dyDescent="0.3"/>
    <row r="91" hidden="1" x14ac:dyDescent="0.3"/>
    <row r="92" hidden="1" x14ac:dyDescent="0.3"/>
    <row r="93" hidden="1" x14ac:dyDescent="0.3"/>
    <row r="94" hidden="1" x14ac:dyDescent="0.3"/>
    <row r="95" hidden="1" x14ac:dyDescent="0.3"/>
    <row r="96" hidden="1" x14ac:dyDescent="0.3"/>
    <row r="97" hidden="1" x14ac:dyDescent="0.3"/>
    <row r="98" hidden="1" x14ac:dyDescent="0.3"/>
    <row r="99" hidden="1" x14ac:dyDescent="0.3"/>
    <row r="100" hidden="1" x14ac:dyDescent="0.3"/>
    <row r="101" hidden="1" x14ac:dyDescent="0.3"/>
    <row r="102" hidden="1" x14ac:dyDescent="0.3"/>
    <row r="103" hidden="1" x14ac:dyDescent="0.3"/>
    <row r="104" hidden="1" x14ac:dyDescent="0.3"/>
    <row r="105" hidden="1" x14ac:dyDescent="0.3"/>
    <row r="106" hidden="1" x14ac:dyDescent="0.3"/>
    <row r="107" hidden="1" x14ac:dyDescent="0.3"/>
    <row r="108" hidden="1" x14ac:dyDescent="0.3"/>
    <row r="109" hidden="1" x14ac:dyDescent="0.3"/>
    <row r="110" hidden="1" x14ac:dyDescent="0.3"/>
    <row r="111" hidden="1" x14ac:dyDescent="0.3"/>
    <row r="112" hidden="1" x14ac:dyDescent="0.3"/>
    <row r="113" spans="3:9" hidden="1" x14ac:dyDescent="0.3"/>
    <row r="114" spans="3:9" hidden="1" x14ac:dyDescent="0.3"/>
    <row r="115" spans="3:9" hidden="1" x14ac:dyDescent="0.3"/>
    <row r="116" spans="3:9" hidden="1" x14ac:dyDescent="0.3"/>
    <row r="117" spans="3:9" hidden="1" x14ac:dyDescent="0.3"/>
    <row r="118" spans="3:9" hidden="1" x14ac:dyDescent="0.3"/>
    <row r="119" spans="3:9" hidden="1" x14ac:dyDescent="0.3"/>
    <row r="120" spans="3:9" hidden="1" x14ac:dyDescent="0.3"/>
    <row r="121" spans="3:9" hidden="1" x14ac:dyDescent="0.3"/>
    <row r="122" spans="3:9" hidden="1" x14ac:dyDescent="0.3"/>
    <row r="123" spans="3:9" hidden="1" x14ac:dyDescent="0.3"/>
    <row r="124" spans="3:9" hidden="1" x14ac:dyDescent="0.3"/>
    <row r="125" spans="3:9" x14ac:dyDescent="0.3">
      <c r="C125" s="81"/>
      <c r="D125" s="82"/>
      <c r="E125" s="83"/>
      <c r="H125" s="84"/>
      <c r="I125" s="85"/>
    </row>
    <row r="126" spans="3:9" x14ac:dyDescent="0.3">
      <c r="C126" s="81"/>
      <c r="D126" s="86"/>
      <c r="E126" s="83"/>
      <c r="H126" s="87"/>
      <c r="I126" s="85"/>
    </row>
    <row r="127" spans="3:9" x14ac:dyDescent="0.3">
      <c r="C127" s="81"/>
      <c r="D127" s="86"/>
      <c r="E127" s="83"/>
      <c r="H127" s="87"/>
      <c r="I127" s="85"/>
    </row>
    <row r="128" spans="3:9" x14ac:dyDescent="0.3">
      <c r="C128" s="81"/>
      <c r="D128" s="86"/>
      <c r="E128" s="83"/>
      <c r="H128" s="87"/>
      <c r="I128" s="85"/>
    </row>
    <row r="129" spans="1:9" x14ac:dyDescent="0.3">
      <c r="C129" s="81"/>
      <c r="D129" s="86"/>
      <c r="E129" s="83"/>
      <c r="H129" s="87"/>
      <c r="I129" s="85"/>
    </row>
    <row r="130" spans="1:9" x14ac:dyDescent="0.3">
      <c r="C130" s="81"/>
      <c r="D130" s="86"/>
      <c r="E130" s="83"/>
      <c r="H130" s="87"/>
      <c r="I130" s="85"/>
    </row>
    <row r="131" spans="1:9" x14ac:dyDescent="0.3">
      <c r="A131" s="50" t="s">
        <v>59</v>
      </c>
      <c r="B131" s="50" t="s">
        <v>60</v>
      </c>
      <c r="D131" s="50" t="s">
        <v>28</v>
      </c>
      <c r="E131" s="50" t="s">
        <v>61</v>
      </c>
      <c r="G131" s="50" t="s">
        <v>18</v>
      </c>
    </row>
    <row r="132" spans="1:9" x14ac:dyDescent="0.3">
      <c r="A132" t="s">
        <v>62</v>
      </c>
      <c r="B132" t="s">
        <v>26</v>
      </c>
      <c r="D132" s="88">
        <v>5</v>
      </c>
      <c r="E132" s="89">
        <v>1</v>
      </c>
    </row>
    <row r="133" spans="1:9" x14ac:dyDescent="0.3">
      <c r="A133" t="s">
        <v>63</v>
      </c>
      <c r="B133" t="s">
        <v>64</v>
      </c>
      <c r="D133" s="88">
        <v>6</v>
      </c>
      <c r="E133" s="89">
        <v>1.0049999999999999</v>
      </c>
      <c r="G133" t="s">
        <v>65</v>
      </c>
    </row>
    <row r="134" spans="1:9" x14ac:dyDescent="0.3">
      <c r="A134" t="s">
        <v>23</v>
      </c>
      <c r="B134" t="s">
        <v>66</v>
      </c>
      <c r="D134" s="88">
        <v>6.5</v>
      </c>
      <c r="E134" s="89">
        <v>1.01</v>
      </c>
      <c r="G134" t="s">
        <v>36</v>
      </c>
    </row>
    <row r="135" spans="1:9" x14ac:dyDescent="0.3">
      <c r="A135" t="s">
        <v>67</v>
      </c>
      <c r="B135" t="s">
        <v>68</v>
      </c>
      <c r="D135" s="88">
        <v>7</v>
      </c>
      <c r="E135" s="89">
        <v>1.0149999999999999</v>
      </c>
    </row>
    <row r="136" spans="1:9" x14ac:dyDescent="0.3">
      <c r="A136" t="s">
        <v>69</v>
      </c>
      <c r="B136" t="s">
        <v>70</v>
      </c>
      <c r="D136" s="88">
        <v>7.5</v>
      </c>
      <c r="E136" s="89">
        <v>1.02</v>
      </c>
    </row>
    <row r="137" spans="1:9" x14ac:dyDescent="0.3">
      <c r="A137" t="s">
        <v>71</v>
      </c>
      <c r="D137" s="88">
        <v>8</v>
      </c>
      <c r="E137" s="89">
        <v>1.0249999999999999</v>
      </c>
    </row>
    <row r="138" spans="1:9" x14ac:dyDescent="0.3">
      <c r="A138" t="s">
        <v>72</v>
      </c>
      <c r="D138" s="88">
        <v>9</v>
      </c>
      <c r="E138" s="89">
        <v>1.03</v>
      </c>
    </row>
    <row r="139" spans="1:9" x14ac:dyDescent="0.3">
      <c r="A139" t="s">
        <v>73</v>
      </c>
    </row>
    <row r="140" spans="1:9" x14ac:dyDescent="0.3">
      <c r="A140" t="s">
        <v>74</v>
      </c>
    </row>
    <row r="141" spans="1:9" x14ac:dyDescent="0.3">
      <c r="A141" t="s">
        <v>75</v>
      </c>
    </row>
    <row r="142" spans="1:9" x14ac:dyDescent="0.3">
      <c r="A142" t="s">
        <v>76</v>
      </c>
    </row>
    <row r="143" spans="1:9" x14ac:dyDescent="0.3">
      <c r="A143" t="s">
        <v>77</v>
      </c>
    </row>
    <row r="144" spans="1:9" x14ac:dyDescent="0.3">
      <c r="A144" t="s">
        <v>78</v>
      </c>
    </row>
    <row r="145" spans="1:1" x14ac:dyDescent="0.3">
      <c r="A145" t="s">
        <v>79</v>
      </c>
    </row>
    <row r="146" spans="1:1" x14ac:dyDescent="0.3">
      <c r="A146" t="s">
        <v>80</v>
      </c>
    </row>
    <row r="147" spans="1:1" x14ac:dyDescent="0.3">
      <c r="A147" t="s">
        <v>81</v>
      </c>
    </row>
    <row r="148" spans="1:1" x14ac:dyDescent="0.3">
      <c r="A148" t="s">
        <v>82</v>
      </c>
    </row>
    <row r="149" spans="1:1" x14ac:dyDescent="0.3">
      <c r="A149" t="s">
        <v>83</v>
      </c>
    </row>
    <row r="150" spans="1:1" x14ac:dyDescent="0.3">
      <c r="A150" t="s">
        <v>84</v>
      </c>
    </row>
  </sheetData>
  <mergeCells count="99">
    <mergeCell ref="A53:D53"/>
    <mergeCell ref="E53:G53"/>
    <mergeCell ref="H53:K53"/>
    <mergeCell ref="A51:D51"/>
    <mergeCell ref="E51:H51"/>
    <mergeCell ref="I51:K51"/>
    <mergeCell ref="A52:D52"/>
    <mergeCell ref="E52:H52"/>
    <mergeCell ref="I52:K52"/>
    <mergeCell ref="A43:K43"/>
    <mergeCell ref="A44:B44"/>
    <mergeCell ref="C44:K44"/>
    <mergeCell ref="A50:D50"/>
    <mergeCell ref="E50:H50"/>
    <mergeCell ref="I50:K50"/>
    <mergeCell ref="E41:F41"/>
    <mergeCell ref="G41:H41"/>
    <mergeCell ref="I41:K41"/>
    <mergeCell ref="E42:F42"/>
    <mergeCell ref="G42:H42"/>
    <mergeCell ref="I42:K42"/>
    <mergeCell ref="E39:F39"/>
    <mergeCell ref="G39:H39"/>
    <mergeCell ref="I39:K39"/>
    <mergeCell ref="E40:F40"/>
    <mergeCell ref="G40:H40"/>
    <mergeCell ref="I40:K40"/>
    <mergeCell ref="E37:F37"/>
    <mergeCell ref="G37:H37"/>
    <mergeCell ref="I37:K37"/>
    <mergeCell ref="E38:F38"/>
    <mergeCell ref="G38:H38"/>
    <mergeCell ref="I38:K38"/>
    <mergeCell ref="E35:F35"/>
    <mergeCell ref="G35:H35"/>
    <mergeCell ref="I35:K35"/>
    <mergeCell ref="E36:F36"/>
    <mergeCell ref="G36:H36"/>
    <mergeCell ref="I36:K36"/>
    <mergeCell ref="E33:G33"/>
    <mergeCell ref="H33:I33"/>
    <mergeCell ref="J33:K33"/>
    <mergeCell ref="E34:F34"/>
    <mergeCell ref="G34:H34"/>
    <mergeCell ref="I34:K34"/>
    <mergeCell ref="E31:G31"/>
    <mergeCell ref="H31:I31"/>
    <mergeCell ref="J31:K31"/>
    <mergeCell ref="A32:C32"/>
    <mergeCell ref="E32:F32"/>
    <mergeCell ref="G32:H32"/>
    <mergeCell ref="I32:K32"/>
    <mergeCell ref="A29:C29"/>
    <mergeCell ref="E29:F29"/>
    <mergeCell ref="G29:H29"/>
    <mergeCell ref="I29:K29"/>
    <mergeCell ref="E30:G30"/>
    <mergeCell ref="H30:I30"/>
    <mergeCell ref="J30:K30"/>
    <mergeCell ref="E27:G27"/>
    <mergeCell ref="H27:I27"/>
    <mergeCell ref="J27:K27"/>
    <mergeCell ref="E28:G28"/>
    <mergeCell ref="H28:I28"/>
    <mergeCell ref="J28:K28"/>
    <mergeCell ref="A24:K24"/>
    <mergeCell ref="A25:D25"/>
    <mergeCell ref="E25:G25"/>
    <mergeCell ref="H25:I25"/>
    <mergeCell ref="J25:K25"/>
    <mergeCell ref="A26:C26"/>
    <mergeCell ref="A21:C21"/>
    <mergeCell ref="D21:E21"/>
    <mergeCell ref="F21:G21"/>
    <mergeCell ref="H21:I21"/>
    <mergeCell ref="J21:K21"/>
    <mergeCell ref="A22:K23"/>
    <mergeCell ref="A18:C18"/>
    <mergeCell ref="D18:E18"/>
    <mergeCell ref="F18:G18"/>
    <mergeCell ref="H18:K18"/>
    <mergeCell ref="A19:C19"/>
    <mergeCell ref="D19:E19"/>
    <mergeCell ref="F19:G19"/>
    <mergeCell ref="H19:K19"/>
    <mergeCell ref="A15:C15"/>
    <mergeCell ref="E15:G15"/>
    <mergeCell ref="I15:K15"/>
    <mergeCell ref="A16:C16"/>
    <mergeCell ref="E16:G16"/>
    <mergeCell ref="I16:K16"/>
    <mergeCell ref="A9:K9"/>
    <mergeCell ref="A11:C11"/>
    <mergeCell ref="D11:F11"/>
    <mergeCell ref="G11:K11"/>
    <mergeCell ref="A12:C12"/>
    <mergeCell ref="D12:F12"/>
    <mergeCell ref="G12:I12"/>
    <mergeCell ref="J12:K12"/>
  </mergeCells>
  <dataValidations count="6">
    <dataValidation type="list" allowBlank="1" showInputMessage="1" showErrorMessage="1" sqref="E31:G31" xr:uid="{0C2A8A6F-6EF2-4E7C-A124-AB37F1A0F07A}">
      <formula1>$E$132:$E$138</formula1>
    </dataValidation>
    <dataValidation type="list" allowBlank="1" showInputMessage="1" showErrorMessage="1" sqref="E30:G30" xr:uid="{4F7EA008-5492-4CB6-BF0A-0877FF981CAF}">
      <formula1>$D$132:$D$138</formula1>
    </dataValidation>
    <dataValidation type="list" allowBlank="1" showInputMessage="1" showErrorMessage="1" sqref="E28:G28" xr:uid="{5952F902-BD3D-4244-8DE3-D05BBDCF218D}">
      <formula1>$B$132:$B$136</formula1>
    </dataValidation>
    <dataValidation type="list" allowBlank="1" showInputMessage="1" showErrorMessage="1" sqref="E27:G27" xr:uid="{0D89C78F-D976-45F7-A268-F4A6DDF878FD}">
      <formula1>$A$132:$A$150</formula1>
    </dataValidation>
    <dataValidation type="list" allowBlank="1" showInputMessage="1" showErrorMessage="1" sqref="E33:G33" xr:uid="{1881154A-4036-4CFA-868C-7D52C27955B5}">
      <formula1>$G$132:$G$134</formula1>
    </dataValidation>
    <dataValidation type="list" allowBlank="1" showInputMessage="1" showErrorMessage="1" sqref="A50:D50" xr:uid="{479B4269-74C3-4359-821E-807B1D6E1F6C}">
      <formula1>$A$59:$A$63</formula1>
    </dataValidation>
  </dataValidations>
  <pageMargins left="0.25" right="0.25" top="0.75" bottom="0.75" header="0.3" footer="0.3"/>
  <pageSetup paperSize="9" orientation="portrait" horizontalDpi="360" verticalDpi="360" r:id="rId1"/>
  <headerFooter>
    <oddFooter>&amp;RDOH-CHD7-CL-Form-14 Rev. 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PT </vt:lpstr>
      <vt:lpstr>'PT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Aguilar</dc:creator>
  <cp:lastModifiedBy>Sean Aguilar</cp:lastModifiedBy>
  <dcterms:created xsi:type="dcterms:W3CDTF">2026-02-01T09:43:50Z</dcterms:created>
  <dcterms:modified xsi:type="dcterms:W3CDTF">2026-02-01T09:43:53Z</dcterms:modified>
</cp:coreProperties>
</file>