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7B78273A-2693-437A-B5F2-74F823BA525A}" xr6:coauthVersionLast="47" xr6:coauthVersionMax="47" xr10:uidLastSave="{00000000-0000-0000-0000-000000000000}"/>
  <bookViews>
    <workbookView xWindow="-108" yWindow="-108" windowWidth="23256" windowHeight="12456" xr2:uid="{BB825806-E1F0-4C6E-9A1D-1F0099813183}"/>
  </bookViews>
  <sheets>
    <sheet name="OGTT" sheetId="1" r:id="rId1"/>
  </sheets>
  <definedNames>
    <definedName name="_xlnm.Print_Area" localSheetId="0">OGTT!$A$1:$K$41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" l="1"/>
  <c r="J31" i="1"/>
  <c r="F31" i="1"/>
  <c r="D31" i="1"/>
  <c r="J30" i="1"/>
  <c r="F30" i="1"/>
  <c r="D30" i="1"/>
  <c r="J29" i="1"/>
  <c r="D29" i="1"/>
  <c r="F29" i="1" s="1"/>
  <c r="J28" i="1"/>
  <c r="D28" i="1"/>
  <c r="F28" i="1" s="1"/>
  <c r="F20" i="1"/>
  <c r="A20" i="1"/>
  <c r="D18" i="1"/>
</calcChain>
</file>

<file path=xl/sharedStrings.xml><?xml version="1.0" encoding="utf-8"?>
<sst xmlns="http://schemas.openxmlformats.org/spreadsheetml/2006/main" count="70" uniqueCount="62">
  <si>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</si>
  <si>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</si>
  <si>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</si>
  <si>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</si>
  <si>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</si>
  <si>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</si>
  <si>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</si>
  <si>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</si>
  <si>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</si>
  <si>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</si>
  <si>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</si>
  <si>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</si>
  <si>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</si>
  <si>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</si>
  <si>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</si>
  <si>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CLINICAL CHEMISTRY</t>
  </si>
  <si>
    <t>TEST PARAMETER</t>
  </si>
  <si>
    <t>RESULT</t>
  </si>
  <si>
    <t>FLAG</t>
  </si>
  <si>
    <t>REFERENCE RANGE</t>
  </si>
  <si>
    <t>CONVENTIONAL UNIT</t>
  </si>
  <si>
    <t>SI UNIT</t>
  </si>
  <si>
    <t>Oral Glucose Tolerance Test</t>
  </si>
  <si>
    <t>Fasting Blood Sugar (FBS)</t>
  </si>
  <si>
    <t>mg/dL</t>
  </si>
  <si>
    <t>60.00-100.00</t>
  </si>
  <si>
    <t>mmol/L</t>
  </si>
  <si>
    <t>3.50-5.50</t>
  </si>
  <si>
    <t>First Hour</t>
  </si>
  <si>
    <t>&lt;180.00</t>
  </si>
  <si>
    <t>&lt;10.00</t>
  </si>
  <si>
    <t>Second Hour</t>
  </si>
  <si>
    <t>&lt;153.00</t>
  </si>
  <si>
    <t>&lt;8.50</t>
  </si>
  <si>
    <t>HbA1c</t>
  </si>
  <si>
    <t>%</t>
  </si>
  <si>
    <t>4.50-6.50</t>
  </si>
  <si>
    <t>mmol/mol</t>
  </si>
  <si>
    <t>25.67-47.53</t>
  </si>
  <si>
    <t>This is an electronically generated result. Please correlate the results clinically.</t>
  </si>
  <si>
    <t xml:space="preserve">REMARKS: </t>
  </si>
  <si>
    <t>75g GLUCOSE FOR OGTT.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</si>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</sst>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name val="Times New Roman"/>
      <family val="1"/>
    </font>
    <font>
      <sz val="1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b/>
      <u/>
      <sz val="9.5"/>
      <color theme="1"/>
      <name val="Times New Roman"/>
      <family val="1"/>
    </font>
    <font>
      <sz val="11"/>
      <color rgb="FF0000FF"/>
      <name val="Calibri"/>
      <family val="2"/>
      <scheme val="minor"/>
    </font>
    <font>
      <i/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8" fontId="2" fillId="0" borderId="7" xfId="0" applyNumberFormat="1" applyFont="1" applyBorder="1" applyAlignment="1">
      <alignment horizontal="center"/>
    </xf>
    <xf numFmtId="18" fontId="2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/>
    <xf numFmtId="0" fontId="8" fillId="0" borderId="14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0" fontId="2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1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2" fontId="15" fillId="0" borderId="18" xfId="0" applyNumberFormat="1" applyFont="1" applyBorder="1" applyAlignment="1">
      <alignment horizontal="center" vertical="center"/>
    </xf>
    <xf numFmtId="2" fontId="15" fillId="0" borderId="16" xfId="0" applyNumberFormat="1" applyFont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vertical="center"/>
    </xf>
    <xf numFmtId="0" fontId="0" fillId="0" borderId="20" xfId="0" applyBorder="1"/>
    <xf numFmtId="0" fontId="0" fillId="0" borderId="0" xfId="0" applyAlignment="1">
      <alignment horizontal="center"/>
    </xf>
    <xf numFmtId="0" fontId="0" fillId="0" borderId="21" xfId="0" applyBorder="1"/>
    <xf numFmtId="0" fontId="4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4" fillId="0" borderId="22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2" fontId="2" fillId="0" borderId="23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2" fontId="2" fillId="0" borderId="27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2" fontId="2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2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0" fillId="0" borderId="0" xfId="0" applyAlignment="1">
      <alignment horizontal="left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0" xfId="0" applyFont="1"/>
    <xf numFmtId="0" fontId="1" fillId="0" borderId="0" xfId="0" applyFont="1"/>
  </cellXfs>
  <cellStyles count="1">
    <cellStyle name="Normal" xfId="0" builtinId="0"/>
  </cellStyles>
  <dxfs count="22"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809DB957-0C4B-48FE-BFC7-5B403B587525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7929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oneCellAnchor>
    <xdr:from>
      <xdr:col>7</xdr:col>
      <xdr:colOff>754380</xdr:colOff>
      <xdr:row>34</xdr:row>
      <xdr:rowOff>30480</xdr:rowOff>
    </xdr:from>
    <xdr:ext cx="2232660" cy="949284"/>
    <xdr:pic>
      <xdr:nvPicPr>
        <xdr:cNvPr id="3" name="Picture 2">
          <a:extLst>
            <a:ext uri="{FF2B5EF4-FFF2-40B4-BE49-F238E27FC236}">
              <a16:creationId xmlns:a16="http://schemas.microsoft.com/office/drawing/2014/main" id="{D70CA247-7C29-4429-AD81-8DE673A32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73980" y="6012180"/>
          <a:ext cx="2232660" cy="94928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0</xdr:row>
      <xdr:rowOff>152400</xdr:rowOff>
    </xdr:from>
    <xdr:ext cx="947602" cy="914400"/>
    <xdr:pic>
      <xdr:nvPicPr>
        <xdr:cNvPr id="4" name="Picture 3">
          <a:extLst>
            <a:ext uri="{FF2B5EF4-FFF2-40B4-BE49-F238E27FC236}">
              <a16:creationId xmlns:a16="http://schemas.microsoft.com/office/drawing/2014/main" id="{9F47343A-9D14-43E0-B5DD-CECB41C9A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52400"/>
          <a:ext cx="947602" cy="914400"/>
        </a:xfrm>
        <a:prstGeom prst="rect">
          <a:avLst/>
        </a:prstGeom>
      </xdr:spPr>
    </xdr:pic>
    <xdr:clientData/>
  </xdr:oneCellAnchor>
  <xdr:oneCellAnchor>
    <xdr:from>
      <xdr:col>0</xdr:col>
      <xdr:colOff>175260</xdr:colOff>
      <xdr:row>1</xdr:row>
      <xdr:rowOff>0</xdr:rowOff>
    </xdr:from>
    <xdr:ext cx="921600" cy="921600"/>
    <xdr:pic>
      <xdr:nvPicPr>
        <xdr:cNvPr id="5" name="Picture 4">
          <a:extLst>
            <a:ext uri="{FF2B5EF4-FFF2-40B4-BE49-F238E27FC236}">
              <a16:creationId xmlns:a16="http://schemas.microsoft.com/office/drawing/2014/main" id="{31A540CC-B4BA-4883-B05F-AE9E5F5D9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82880"/>
          <a:ext cx="921600" cy="921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B00F-387D-4184-8169-2BF3A396F8A5}">
  <dimension ref="A1:K59"/>
  <sheetViews>
    <sheetView tabSelected="1" view="pageLayout" topLeftCell="A19" zoomScaleNormal="100" workbookViewId="0">
      <selection activeCell="A41" sqref="A41:D41"/>
    </sheetView>
  </sheetViews>
  <sheetFormatPr defaultRowHeight="14.4" x14ac:dyDescent="0.3"/>
  <cols>
    <col min="1" max="2" width="9" customWidth="1"/>
    <col min="3" max="3" width="4.77734375" customWidth="1"/>
    <col min="4" max="4" width="11.88671875" customWidth="1"/>
    <col min="5" max="5" width="6.109375" customWidth="1"/>
    <col min="6" max="6" width="6.33203125" customWidth="1"/>
    <col min="7" max="7" width="14.44140625" customWidth="1"/>
    <col min="8" max="8" width="11.88671875" customWidth="1"/>
    <col min="9" max="9" width="7.21875" customWidth="1"/>
    <col min="10" max="10" width="6.33203125" customWidth="1"/>
    <col min="11" max="11" width="14.33203125" customWidth="1"/>
    <col min="12" max="12" width="9.6640625" bestFit="1" customWidth="1"/>
    <col min="14" max="14" width="9.6640625" bestFit="1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4.95" customHeight="1" x14ac:dyDescent="0.3"/>
    <row r="9" spans="1:11" ht="20.399999999999999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4.95" customHeight="1" thickBot="1" x14ac:dyDescent="0.35"/>
    <row r="11" spans="1:1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4.9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3.4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4.9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0.54166666666666663</v>
      </c>
      <c r="I20" s="19"/>
      <c r="J20" s="30"/>
      <c r="K20" s="31"/>
    </row>
    <row r="21" spans="1:1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5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ht="12.6" customHeight="1" thickBot="1" x14ac:dyDescent="0.3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s="48" customFormat="1" ht="29.4" customHeight="1" thickBot="1" x14ac:dyDescent="0.35">
      <c r="A24" s="41" t="s">
        <v>16</v>
      </c>
      <c r="B24" s="42"/>
      <c r="C24" s="43"/>
      <c r="D24" s="44" t="s">
        <v>17</v>
      </c>
      <c r="E24" s="45"/>
      <c r="F24" s="46" t="s">
        <v>18</v>
      </c>
      <c r="G24" s="47" t="s">
        <v>19</v>
      </c>
      <c r="H24" s="44" t="s">
        <v>17</v>
      </c>
      <c r="I24" s="45"/>
      <c r="J24" s="46" t="s">
        <v>18</v>
      </c>
      <c r="K24" s="47" t="s">
        <v>19</v>
      </c>
    </row>
    <row r="25" spans="1:11" ht="15" thickBot="1" x14ac:dyDescent="0.35">
      <c r="A25" s="49"/>
      <c r="B25" s="50"/>
      <c r="C25" s="51"/>
      <c r="D25" s="52" t="s">
        <v>20</v>
      </c>
      <c r="E25" s="53"/>
      <c r="F25" s="54"/>
      <c r="G25" s="55"/>
      <c r="H25" s="52" t="s">
        <v>21</v>
      </c>
      <c r="I25" s="53"/>
      <c r="J25" s="54"/>
      <c r="K25" s="55"/>
    </row>
    <row r="26" spans="1:11" ht="7.2" customHeight="1" x14ac:dyDescent="0.3">
      <c r="A26" s="56"/>
      <c r="C26" s="57"/>
      <c r="F26" s="58"/>
      <c r="G26" s="59"/>
      <c r="J26" s="60"/>
      <c r="K26" s="3"/>
    </row>
    <row r="27" spans="1:11" ht="15.6" customHeight="1" x14ac:dyDescent="0.3">
      <c r="A27" s="61" t="s">
        <v>22</v>
      </c>
      <c r="B27" s="62"/>
      <c r="C27" s="63"/>
      <c r="F27" s="58"/>
      <c r="G27" s="57"/>
      <c r="J27" s="60"/>
      <c r="K27" s="5"/>
    </row>
    <row r="28" spans="1:11" x14ac:dyDescent="0.3">
      <c r="A28" s="64" t="s">
        <v>23</v>
      </c>
      <c r="B28" s="65"/>
      <c r="C28" s="66"/>
      <c r="D28" s="67">
        <f>H28/0.0554951033732318</f>
        <v>0</v>
      </c>
      <c r="E28" s="68" t="s">
        <v>24</v>
      </c>
      <c r="F28" s="69" t="str">
        <f>IF(D28&lt;60,"L",IF(D28&lt;=100,"",IF(D28&gt;100,"H")))</f>
        <v>L</v>
      </c>
      <c r="G28" s="70" t="s">
        <v>25</v>
      </c>
      <c r="H28" s="67"/>
      <c r="I28" s="68" t="s">
        <v>26</v>
      </c>
      <c r="J28" s="71" t="str">
        <f>IF(H28&lt;3.5,"L",IF(H28&lt;=5.5,"",IF(H28&gt;5.5,"H")))</f>
        <v>L</v>
      </c>
      <c r="K28" s="72" t="s">
        <v>27</v>
      </c>
    </row>
    <row r="29" spans="1:11" x14ac:dyDescent="0.3">
      <c r="A29" s="64" t="s">
        <v>28</v>
      </c>
      <c r="B29" s="65"/>
      <c r="C29" s="66"/>
      <c r="D29" s="67">
        <f>H29/0.0554951033732318</f>
        <v>0</v>
      </c>
      <c r="E29" s="68" t="s">
        <v>24</v>
      </c>
      <c r="F29" s="71" t="str">
        <f>IF(D29&lt;180,"",IF(D29&gt;=180,"H"))</f>
        <v/>
      </c>
      <c r="G29" s="70" t="s">
        <v>29</v>
      </c>
      <c r="H29" s="67"/>
      <c r="I29" s="68" t="s">
        <v>26</v>
      </c>
      <c r="J29" s="71" t="str">
        <f>IF(H29&lt;10,"",IF(H29&gt;=10,"H"))</f>
        <v/>
      </c>
      <c r="K29" s="72" t="s">
        <v>30</v>
      </c>
    </row>
    <row r="30" spans="1:11" x14ac:dyDescent="0.3">
      <c r="A30" s="73" t="s">
        <v>31</v>
      </c>
      <c r="B30" s="74"/>
      <c r="C30" s="75"/>
      <c r="D30" s="76">
        <f>H30/0.0554951033732318</f>
        <v>0</v>
      </c>
      <c r="E30" s="77" t="s">
        <v>24</v>
      </c>
      <c r="F30" s="78" t="str">
        <f>IF(D30&lt;153,"",IF(D30&gt;=153,"H"))</f>
        <v/>
      </c>
      <c r="G30" s="79" t="s">
        <v>32</v>
      </c>
      <c r="H30" s="76"/>
      <c r="I30" s="77" t="s">
        <v>26</v>
      </c>
      <c r="J30" s="78" t="str">
        <f>IF(H30&lt;8.5,"",IF(H30&gt;=8.5,"H"))</f>
        <v/>
      </c>
      <c r="K30" s="80" t="s">
        <v>33</v>
      </c>
    </row>
    <row r="31" spans="1:11" x14ac:dyDescent="0.3">
      <c r="A31" s="73" t="s">
        <v>34</v>
      </c>
      <c r="B31" s="81"/>
      <c r="C31" s="82"/>
      <c r="D31" s="83">
        <f>(0.09148*H31)+2.152</f>
        <v>2.1520000000000001</v>
      </c>
      <c r="E31" s="84" t="s">
        <v>35</v>
      </c>
      <c r="F31" s="85" t="str">
        <f>IF(D31&lt;4.5,"L",IF(D31&lt;=6.5,"",IF(D31&gt;6.51,"H")))</f>
        <v>L</v>
      </c>
      <c r="G31" s="86" t="s">
        <v>36</v>
      </c>
      <c r="H31" s="83"/>
      <c r="I31" s="84" t="s">
        <v>37</v>
      </c>
      <c r="J31" s="85" t="str">
        <f>IF(H31&lt;25.67,"L",IF(H31&lt;=47.53,"",IF(H31&gt;47.53,"H")))</f>
        <v>L</v>
      </c>
      <c r="K31" s="80" t="s">
        <v>38</v>
      </c>
    </row>
    <row r="32" spans="1:11" ht="15" thickBot="1" x14ac:dyDescent="0.35">
      <c r="A32" s="87" t="s">
        <v>39</v>
      </c>
      <c r="B32" s="88"/>
      <c r="C32" s="88"/>
      <c r="D32" s="88"/>
      <c r="E32" s="88"/>
      <c r="F32" s="88"/>
      <c r="G32" s="88"/>
      <c r="H32" s="88"/>
      <c r="I32" s="88"/>
      <c r="J32" s="88"/>
      <c r="K32" s="89"/>
    </row>
    <row r="33" spans="1:11" x14ac:dyDescent="0.3">
      <c r="A33" s="90" t="s">
        <v>40</v>
      </c>
      <c r="C33" s="91" t="s">
        <v>41</v>
      </c>
      <c r="D33" s="91"/>
      <c r="E33" s="91"/>
      <c r="F33" s="91"/>
      <c r="G33" s="91"/>
      <c r="H33" s="91"/>
      <c r="I33" s="91"/>
      <c r="J33" s="91"/>
      <c r="K33" s="91"/>
    </row>
    <row r="34" spans="1:11" ht="9" customHeight="1" x14ac:dyDescent="0.3"/>
    <row r="35" spans="1:11" x14ac:dyDescent="0.3">
      <c r="A35" s="92" t="s">
        <v>42</v>
      </c>
      <c r="E35" s="93" t="s">
        <v>43</v>
      </c>
      <c r="I35" s="93" t="s">
        <v>44</v>
      </c>
    </row>
    <row r="36" spans="1:11" x14ac:dyDescent="0.3">
      <c r="A36" s="92"/>
      <c r="E36" s="93"/>
      <c r="I36" s="93"/>
    </row>
    <row r="37" spans="1:11" x14ac:dyDescent="0.3">
      <c r="A37" s="92"/>
      <c r="E37" s="93"/>
      <c r="I37" s="93"/>
    </row>
    <row r="38" spans="1:11" x14ac:dyDescent="0.3">
      <c r="I38" s="94"/>
    </row>
    <row r="39" spans="1:11" x14ac:dyDescent="0.3">
      <c r="A39" s="95" t="s">
        <v>45</v>
      </c>
      <c r="B39" s="95"/>
      <c r="C39" s="95"/>
      <c r="D39" s="95"/>
      <c r="E39" s="95" t="s">
        <v>46</v>
      </c>
      <c r="F39" s="95"/>
      <c r="G39" s="95"/>
      <c r="H39" s="95"/>
      <c r="I39" s="96" t="s">
        <v>47</v>
      </c>
      <c r="J39" s="96"/>
      <c r="K39" s="96"/>
    </row>
    <row r="40" spans="1:11" x14ac:dyDescent="0.3">
      <c r="A40" s="97" t="s">
        <v>48</v>
      </c>
      <c r="B40" s="97"/>
      <c r="C40" s="97"/>
      <c r="D40" s="97"/>
      <c r="E40" s="98" t="s">
        <v>49</v>
      </c>
      <c r="F40" s="98"/>
      <c r="G40" s="98"/>
      <c r="H40" s="98"/>
      <c r="I40" s="98" t="s">
        <v>50</v>
      </c>
      <c r="J40" s="98"/>
      <c r="K40" s="98"/>
    </row>
    <row r="41" spans="1:11" x14ac:dyDescent="0.3">
      <c r="A41" s="98" t="str">
        <f>IF(A39=A55,"Lic. No. 0091946",IF(A39=A56,"Lic. No. 0068902",IF(A39=A57,"Lic. No. 0081395",IF(A39=A58,"Lic. No. 0054465",IF(A39=A59,"Lic. No. 0060939")))))</f>
        <v>Lic. No. 0068902</v>
      </c>
      <c r="B41" s="98"/>
      <c r="C41" s="98"/>
      <c r="D41" s="98"/>
      <c r="E41" s="98" t="s">
        <v>51</v>
      </c>
      <c r="F41" s="98"/>
      <c r="G41" s="98"/>
      <c r="H41" s="98"/>
      <c r="I41" s="98" t="s">
        <v>52</v>
      </c>
      <c r="J41" s="98"/>
      <c r="K41" s="98"/>
    </row>
    <row r="43" spans="1:11" x14ac:dyDescent="0.3">
      <c r="A43" s="99"/>
      <c r="B43" s="99"/>
      <c r="C43" s="99"/>
      <c r="D43" s="99"/>
    </row>
    <row r="44" spans="1:11" x14ac:dyDescent="0.3">
      <c r="C44" s="99"/>
      <c r="D44" s="99"/>
    </row>
    <row r="45" spans="1:11" x14ac:dyDescent="0.3">
      <c r="C45" s="99"/>
      <c r="D45" s="99"/>
    </row>
    <row r="46" spans="1:11" x14ac:dyDescent="0.3">
      <c r="C46" s="99"/>
      <c r="D46" s="99"/>
    </row>
    <row r="47" spans="1:11" x14ac:dyDescent="0.3">
      <c r="C47" s="99"/>
      <c r="D47" s="99"/>
    </row>
    <row r="48" spans="1:11" x14ac:dyDescent="0.3">
      <c r="C48" s="99"/>
      <c r="D48" s="99"/>
    </row>
    <row r="49" spans="1:4" x14ac:dyDescent="0.3">
      <c r="C49" s="99"/>
      <c r="D49" s="99"/>
    </row>
    <row r="50" spans="1:4" x14ac:dyDescent="0.3">
      <c r="C50" s="99"/>
      <c r="D50" s="99"/>
    </row>
    <row r="51" spans="1:4" x14ac:dyDescent="0.3">
      <c r="C51" s="99"/>
      <c r="D51" s="99"/>
    </row>
    <row r="52" spans="1:4" ht="14.4" customHeight="1" x14ac:dyDescent="0.3">
      <c r="C52" s="99"/>
      <c r="D52" s="99"/>
    </row>
    <row r="55" spans="1:4" x14ac:dyDescent="0.3">
      <c r="A55" s="100" t="s">
        <v>53</v>
      </c>
      <c r="B55" s="100" t="s">
        <v>54</v>
      </c>
    </row>
    <row r="56" spans="1:4" x14ac:dyDescent="0.3">
      <c r="A56" s="101" t="s">
        <v>45</v>
      </c>
      <c r="B56" s="102" t="s">
        <v>55</v>
      </c>
    </row>
    <row r="57" spans="1:4" x14ac:dyDescent="0.3">
      <c r="A57" s="101" t="s">
        <v>56</v>
      </c>
      <c r="B57" s="102" t="s">
        <v>57</v>
      </c>
    </row>
    <row r="58" spans="1:4" x14ac:dyDescent="0.3">
      <c r="A58" t="s">
        <v>58</v>
      </c>
      <c r="B58" t="s">
        <v>59</v>
      </c>
    </row>
    <row r="59" spans="1:4" x14ac:dyDescent="0.3">
      <c r="A59" t="s">
        <v>60</v>
      </c>
      <c r="B59" t="s">
        <v>61</v>
      </c>
    </row>
  </sheetData>
  <mergeCells count="50">
    <mergeCell ref="A40:D40"/>
    <mergeCell ref="E40:H40"/>
    <mergeCell ref="I40:K40"/>
    <mergeCell ref="A41:D41"/>
    <mergeCell ref="E41:H41"/>
    <mergeCell ref="I41:K41"/>
    <mergeCell ref="A27:C27"/>
    <mergeCell ref="A32:K32"/>
    <mergeCell ref="C33:K33"/>
    <mergeCell ref="A39:D39"/>
    <mergeCell ref="E39:H39"/>
    <mergeCell ref="I39:K39"/>
    <mergeCell ref="A23:K23"/>
    <mergeCell ref="A24:C25"/>
    <mergeCell ref="D24:E24"/>
    <mergeCell ref="F24:F25"/>
    <mergeCell ref="G24:G25"/>
    <mergeCell ref="H24:I24"/>
    <mergeCell ref="J24:J25"/>
    <mergeCell ref="K24:K25"/>
    <mergeCell ref="D25:E25"/>
    <mergeCell ref="H25:I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6:F28">
    <cfRule type="containsText" dxfId="21" priority="15" operator="containsText" text="L">
      <formula>NOT(ISERROR(SEARCH("L",F26)))</formula>
    </cfRule>
    <cfRule type="containsText" dxfId="20" priority="16" operator="containsText" text="H">
      <formula>NOT(ISERROR(SEARCH("H",F26)))</formula>
    </cfRule>
  </conditionalFormatting>
  <conditionalFormatting sqref="F27:F30">
    <cfRule type="containsText" dxfId="19" priority="10" operator="containsText" text="H">
      <formula>NOT(ISERROR(SEARCH("H",F27)))</formula>
    </cfRule>
  </conditionalFormatting>
  <conditionalFormatting sqref="F28">
    <cfRule type="containsText" dxfId="18" priority="21" operator="containsText" text="L">
      <formula>NOT(ISERROR(SEARCH("L",F28)))</formula>
    </cfRule>
    <cfRule type="containsText" dxfId="17" priority="22" operator="containsText" text="H">
      <formula>NOT(ISERROR(SEARCH("H",F28)))</formula>
    </cfRule>
  </conditionalFormatting>
  <conditionalFormatting sqref="F29:F30">
    <cfRule type="containsText" dxfId="16" priority="7" operator="containsText" text="L">
      <formula>NOT(ISERROR(SEARCH("L",F29)))</formula>
    </cfRule>
    <cfRule type="containsText" dxfId="15" priority="8" operator="containsText" text="H">
      <formula>NOT(ISERROR(SEARCH("H",F29)))</formula>
    </cfRule>
    <cfRule type="containsText" dxfId="14" priority="9" operator="containsText" text="L">
      <formula>NOT(ISERROR(SEARCH("L",F29)))</formula>
    </cfRule>
  </conditionalFormatting>
  <conditionalFormatting sqref="F29:F31">
    <cfRule type="containsText" dxfId="13" priority="6" operator="containsText" text="H">
      <formula>NOT(ISERROR(SEARCH("H",F29)))</formula>
    </cfRule>
  </conditionalFormatting>
  <conditionalFormatting sqref="F31">
    <cfRule type="containsText" dxfId="12" priority="4" operator="containsText" text="H">
      <formula>NOT(ISERROR(SEARCH("H",F31)))</formula>
    </cfRule>
    <cfRule type="containsText" dxfId="11" priority="5" operator="containsText" text="L">
      <formula>NOT(ISERROR(SEARCH("L",F31)))</formula>
    </cfRule>
  </conditionalFormatting>
  <conditionalFormatting sqref="J28">
    <cfRule type="containsText" dxfId="10" priority="17" operator="containsText" text="L">
      <formula>NOT(ISERROR(SEARCH("L",J28)))</formula>
    </cfRule>
    <cfRule type="containsText" dxfId="9" priority="18" operator="containsText" text="H">
      <formula>NOT(ISERROR(SEARCH("H",J28)))</formula>
    </cfRule>
    <cfRule type="containsText" dxfId="8" priority="19" operator="containsText" text="L">
      <formula>NOT(ISERROR(SEARCH("L",J28)))</formula>
    </cfRule>
    <cfRule type="containsText" dxfId="7" priority="20" operator="containsText" text="H">
      <formula>NOT(ISERROR(SEARCH("H",J28)))</formula>
    </cfRule>
  </conditionalFormatting>
  <conditionalFormatting sqref="J28:J30">
    <cfRule type="containsText" dxfId="6" priority="11" operator="containsText" text="L">
      <formula>NOT(ISERROR(SEARCH("L",J28)))</formula>
    </cfRule>
    <cfRule type="containsText" dxfId="5" priority="12" operator="containsText" text="H">
      <formula>NOT(ISERROR(SEARCH("H",J28)))</formula>
    </cfRule>
    <cfRule type="containsText" dxfId="4" priority="13" operator="containsText" text="L">
      <formula>NOT(ISERROR(SEARCH("L",J28)))</formula>
    </cfRule>
    <cfRule type="containsText" dxfId="3" priority="14" operator="containsText" text="H">
      <formula>NOT(ISERROR(SEARCH("H",J28)))</formula>
    </cfRule>
  </conditionalFormatting>
  <conditionalFormatting sqref="J28:J31">
    <cfRule type="containsText" dxfId="2" priority="3" operator="containsText" text="H">
      <formula>NOT(ISERROR(SEARCH("H",J28)))</formula>
    </cfRule>
  </conditionalFormatting>
  <conditionalFormatting sqref="J31">
    <cfRule type="containsText" dxfId="1" priority="1" operator="containsText" text="H">
      <formula>NOT(ISERROR(SEARCH("H",J31)))</formula>
    </cfRule>
    <cfRule type="containsText" dxfId="0" priority="2" operator="containsText" text="L">
      <formula>NOT(ISERROR(SEARCH("L",J31)))</formula>
    </cfRule>
  </conditionalFormatting>
  <dataValidations count="1">
    <dataValidation type="list" allowBlank="1" showInputMessage="1" showErrorMessage="1" sqref="A39:D39" xr:uid="{9F1CAEE9-EA9D-4758-A7F1-20FB64CE2F9B}">
      <formula1>$A$55:$A$59</formula1>
    </dataValidation>
  </dataValidations>
  <pageMargins left="0.23622047244094488" right="0.23622047244094488" top="0.74803149606299213" bottom="0.74803149606299213" header="0.31496062992125984" footer="0.31496062992125984"/>
  <pageSetup paperSize="9" orientation="portrait" horizontalDpi="360" verticalDpi="360" r:id="rId1"/>
  <headerFooter>
    <oddFooter>&amp;RDOH-CHD7-CL-Form-9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OGTT</vt:lpstr>
      <vt:lpstr>OGTT!Print_Area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2026-02-01T09:30:07Z</dcterms:created>
  <dcterms:modified xsi:type="dcterms:W3CDTF">2026-02-01T09:30:38Z</dcterms:modified>
</cp:coreProperties>
</file>